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420BE88-985D-4810-8E26-FC519297F64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电路学习打卡" sheetId="1" r:id="rId1"/>
    <sheet name="高等数学学习计划" sheetId="2" r:id="rId2"/>
    <sheet name="英语" sheetId="3" r:id="rId3"/>
    <sheet name="政治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6" i="4" l="1"/>
  <c r="M36" i="4" s="1"/>
  <c r="L35" i="4"/>
  <c r="M35" i="4" s="1"/>
  <c r="L34" i="4"/>
  <c r="M34" i="4" s="1"/>
  <c r="L33" i="4"/>
  <c r="M33" i="4" s="1"/>
  <c r="L32" i="4"/>
  <c r="M32" i="4" s="1"/>
  <c r="L31" i="4"/>
  <c r="M31" i="4" s="1"/>
  <c r="L30" i="4"/>
  <c r="M30" i="4" s="1"/>
  <c r="L29" i="4"/>
  <c r="M29" i="4" s="1"/>
  <c r="L28" i="4"/>
  <c r="M28" i="4" s="1"/>
  <c r="M27" i="4"/>
  <c r="L27" i="4"/>
  <c r="L26" i="4"/>
  <c r="M26" i="4" s="1"/>
  <c r="L25" i="4"/>
  <c r="M25" i="4" s="1"/>
  <c r="L24" i="4"/>
  <c r="M24" i="4" s="1"/>
  <c r="L23" i="4"/>
  <c r="M23" i="4" s="1"/>
  <c r="L22" i="4"/>
  <c r="M22" i="4" s="1"/>
  <c r="M21" i="4"/>
  <c r="L21" i="4"/>
  <c r="L20" i="4"/>
  <c r="M20" i="4" s="1"/>
  <c r="L19" i="4"/>
  <c r="M19" i="4" s="1"/>
  <c r="L18" i="4"/>
  <c r="M18" i="4" s="1"/>
  <c r="L17" i="4"/>
  <c r="M17" i="4" s="1"/>
  <c r="L16" i="4"/>
  <c r="M16" i="4" s="1"/>
  <c r="M15" i="4"/>
  <c r="L15" i="4"/>
  <c r="L14" i="4"/>
  <c r="M14" i="4" s="1"/>
  <c r="L13" i="4"/>
  <c r="M13" i="4" s="1"/>
  <c r="L12" i="4"/>
  <c r="M12" i="4" s="1"/>
  <c r="L11" i="4"/>
  <c r="M11" i="4" s="1"/>
  <c r="L10" i="4"/>
  <c r="M10" i="4" s="1"/>
  <c r="M9" i="4"/>
  <c r="L9" i="4"/>
  <c r="D4" i="4"/>
  <c r="F4" i="4" s="1"/>
  <c r="L70" i="3"/>
  <c r="M70" i="3" s="1"/>
  <c r="L69" i="3"/>
  <c r="M69" i="3" s="1"/>
  <c r="L68" i="3"/>
  <c r="M68" i="3" s="1"/>
  <c r="L67" i="3"/>
  <c r="M67" i="3" s="1"/>
  <c r="M66" i="3"/>
  <c r="L66" i="3"/>
  <c r="L65" i="3"/>
  <c r="M65" i="3" s="1"/>
  <c r="L64" i="3"/>
  <c r="M64" i="3" s="1"/>
  <c r="L63" i="3"/>
  <c r="M63" i="3" s="1"/>
  <c r="L62" i="3"/>
  <c r="M62" i="3" s="1"/>
  <c r="L61" i="3"/>
  <c r="M61" i="3" s="1"/>
  <c r="M60" i="3"/>
  <c r="L60" i="3"/>
  <c r="L59" i="3"/>
  <c r="M59" i="3" s="1"/>
  <c r="L58" i="3"/>
  <c r="M58" i="3" s="1"/>
  <c r="L57" i="3"/>
  <c r="M57" i="3" s="1"/>
  <c r="L56" i="3"/>
  <c r="M56" i="3" s="1"/>
  <c r="L55" i="3"/>
  <c r="M55" i="3" s="1"/>
  <c r="M54" i="3"/>
  <c r="L54" i="3"/>
  <c r="L53" i="3"/>
  <c r="M53" i="3" s="1"/>
  <c r="L52" i="3"/>
  <c r="M52" i="3" s="1"/>
  <c r="L51" i="3"/>
  <c r="M51" i="3" s="1"/>
  <c r="L50" i="3"/>
  <c r="M50" i="3" s="1"/>
  <c r="L49" i="3"/>
  <c r="M49" i="3" s="1"/>
  <c r="M48" i="3"/>
  <c r="L48" i="3"/>
  <c r="L47" i="3"/>
  <c r="M47" i="3" s="1"/>
  <c r="L46" i="3"/>
  <c r="M46" i="3" s="1"/>
  <c r="L45" i="3"/>
  <c r="M45" i="3" s="1"/>
  <c r="L44" i="3"/>
  <c r="M44" i="3" s="1"/>
  <c r="L43" i="3"/>
  <c r="M43" i="3" s="1"/>
  <c r="M42" i="3"/>
  <c r="L42" i="3"/>
  <c r="L41" i="3"/>
  <c r="M41" i="3" s="1"/>
  <c r="L40" i="3"/>
  <c r="M40" i="3" s="1"/>
  <c r="L39" i="3"/>
  <c r="M39" i="3" s="1"/>
  <c r="L38" i="3"/>
  <c r="M38" i="3" s="1"/>
  <c r="L37" i="3"/>
  <c r="M37" i="3" s="1"/>
  <c r="M36" i="3"/>
  <c r="L36" i="3"/>
  <c r="L35" i="3"/>
  <c r="M35" i="3" s="1"/>
  <c r="L34" i="3"/>
  <c r="M34" i="3" s="1"/>
  <c r="L33" i="3"/>
  <c r="M33" i="3" s="1"/>
  <c r="L32" i="3"/>
  <c r="M32" i="3" s="1"/>
  <c r="L31" i="3"/>
  <c r="M31" i="3" s="1"/>
  <c r="L30" i="3"/>
  <c r="M30" i="3" s="1"/>
  <c r="L29" i="3"/>
  <c r="M29" i="3" s="1"/>
  <c r="L28" i="3"/>
  <c r="M28" i="3" s="1"/>
  <c r="L27" i="3"/>
  <c r="M27" i="3" s="1"/>
  <c r="L26" i="3"/>
  <c r="M26" i="3" s="1"/>
  <c r="L25" i="3"/>
  <c r="M25" i="3" s="1"/>
  <c r="L24" i="3"/>
  <c r="M24" i="3" s="1"/>
  <c r="L23" i="3"/>
  <c r="M23" i="3" s="1"/>
  <c r="L22" i="3"/>
  <c r="M22" i="3" s="1"/>
  <c r="L21" i="3"/>
  <c r="M21" i="3" s="1"/>
  <c r="L20" i="3"/>
  <c r="M20" i="3" s="1"/>
  <c r="L19" i="3"/>
  <c r="M19" i="3" s="1"/>
  <c r="L18" i="3"/>
  <c r="M18" i="3" s="1"/>
  <c r="L17" i="3"/>
  <c r="M17" i="3" s="1"/>
  <c r="L16" i="3"/>
  <c r="M16" i="3" s="1"/>
  <c r="L15" i="3"/>
  <c r="M15" i="3" s="1"/>
  <c r="L14" i="3"/>
  <c r="M14" i="3" s="1"/>
  <c r="L13" i="3"/>
  <c r="M13" i="3" s="1"/>
  <c r="L12" i="3"/>
  <c r="M12" i="3" s="1"/>
  <c r="L11" i="3"/>
  <c r="M11" i="3" s="1"/>
  <c r="L10" i="3"/>
  <c r="M10" i="3" s="1"/>
  <c r="L9" i="3"/>
  <c r="M9" i="3" s="1"/>
  <c r="D4" i="3"/>
  <c r="F4" i="3" s="1"/>
  <c r="J44" i="2"/>
  <c r="K44" i="2" s="1"/>
  <c r="J43" i="2"/>
  <c r="K43" i="2" s="1"/>
  <c r="J42" i="2"/>
  <c r="K42" i="2" s="1"/>
  <c r="J41" i="2"/>
  <c r="K41" i="2" s="1"/>
  <c r="J40" i="2"/>
  <c r="K40" i="2" s="1"/>
  <c r="J39" i="2"/>
  <c r="K39" i="2" s="1"/>
  <c r="J38" i="2"/>
  <c r="K38" i="2" s="1"/>
  <c r="J37" i="2"/>
  <c r="K37" i="2" s="1"/>
  <c r="J36" i="2"/>
  <c r="K36" i="2" s="1"/>
  <c r="J35" i="2"/>
  <c r="K35" i="2" s="1"/>
  <c r="J34" i="2"/>
  <c r="K34" i="2" s="1"/>
  <c r="J33" i="2"/>
  <c r="K33" i="2" s="1"/>
  <c r="J32" i="2"/>
  <c r="K32" i="2" s="1"/>
  <c r="J31" i="2"/>
  <c r="K31" i="2" s="1"/>
  <c r="J30" i="2"/>
  <c r="K30" i="2" s="1"/>
  <c r="J29" i="2"/>
  <c r="K29" i="2" s="1"/>
  <c r="J28" i="2"/>
  <c r="K28" i="2" s="1"/>
  <c r="J27" i="2"/>
  <c r="K27" i="2" s="1"/>
  <c r="J26" i="2"/>
  <c r="K26" i="2" s="1"/>
  <c r="J25" i="2"/>
  <c r="K25" i="2" s="1"/>
  <c r="J24" i="2"/>
  <c r="K24" i="2" s="1"/>
  <c r="J23" i="2"/>
  <c r="K23" i="2" s="1"/>
  <c r="J22" i="2"/>
  <c r="K22" i="2" s="1"/>
  <c r="J21" i="2"/>
  <c r="K21" i="2" s="1"/>
  <c r="J20" i="2"/>
  <c r="K20" i="2" s="1"/>
  <c r="J19" i="2"/>
  <c r="K19" i="2" s="1"/>
  <c r="J18" i="2"/>
  <c r="K18" i="2" s="1"/>
  <c r="J17" i="2"/>
  <c r="K17" i="2" s="1"/>
  <c r="J16" i="2"/>
  <c r="K16" i="2" s="1"/>
  <c r="J15" i="2"/>
  <c r="K15" i="2" s="1"/>
  <c r="J14" i="2"/>
  <c r="K14" i="2" s="1"/>
  <c r="J13" i="2"/>
  <c r="K13" i="2" s="1"/>
  <c r="J12" i="2"/>
  <c r="K12" i="2" s="1"/>
  <c r="J11" i="2"/>
  <c r="K11" i="2" s="1"/>
  <c r="J10" i="2"/>
  <c r="K10" i="2" s="1"/>
  <c r="J9" i="2"/>
  <c r="K9" i="2" s="1"/>
  <c r="D4" i="2"/>
  <c r="F4" i="2" s="1"/>
  <c r="J36" i="1"/>
  <c r="K36" i="1" s="1"/>
  <c r="J35" i="1"/>
  <c r="K35" i="1" s="1"/>
  <c r="J34" i="1"/>
  <c r="K34" i="1" s="1"/>
  <c r="J33" i="1"/>
  <c r="K33" i="1" s="1"/>
  <c r="J32" i="1"/>
  <c r="K32" i="1" s="1"/>
  <c r="J31" i="1"/>
  <c r="K31" i="1" s="1"/>
  <c r="J30" i="1"/>
  <c r="K30" i="1" s="1"/>
  <c r="J29" i="1"/>
  <c r="K29" i="1" s="1"/>
  <c r="J28" i="1"/>
  <c r="K28" i="1" s="1"/>
  <c r="J27" i="1"/>
  <c r="K27" i="1" s="1"/>
  <c r="J26" i="1"/>
  <c r="K26" i="1" s="1"/>
  <c r="J25" i="1"/>
  <c r="K25" i="1" s="1"/>
  <c r="J24" i="1"/>
  <c r="K24" i="1" s="1"/>
  <c r="J23" i="1"/>
  <c r="K23" i="1" s="1"/>
  <c r="J22" i="1"/>
  <c r="K22" i="1" s="1"/>
  <c r="J21" i="1"/>
  <c r="K21" i="1" s="1"/>
  <c r="J20" i="1"/>
  <c r="K20" i="1" s="1"/>
  <c r="J19" i="1"/>
  <c r="K19" i="1" s="1"/>
  <c r="J18" i="1"/>
  <c r="K18" i="1" s="1"/>
  <c r="J17" i="1"/>
  <c r="K17" i="1" s="1"/>
  <c r="J16" i="1"/>
  <c r="K16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9" i="1"/>
  <c r="K9" i="1" s="1"/>
  <c r="D4" i="1"/>
  <c r="F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47" authorId="0" shapeId="0" xr:uid="{00000000-0006-0000-0000-000001000000}">
      <text>
        <r>
          <rPr>
            <sz val="11"/>
            <rFont val="Carlito"/>
          </rPr>
          <t>上册：https://xuanshu.hep.com.cn/front/h5Mobile/bookDetails?bookId=59cc3a30ba9eb884cf81631c
下册：https://www.aijiaocai.com/textbook/details?textbook_id=566743</t>
        </r>
      </text>
    </comment>
  </commentList>
</comments>
</file>

<file path=xl/sharedStrings.xml><?xml version="1.0" encoding="utf-8"?>
<sst xmlns="http://schemas.openxmlformats.org/spreadsheetml/2006/main" count="2508" uniqueCount="673">
  <si>
    <t>任务总数</t>
  </si>
  <si>
    <t>已完成</t>
  </si>
  <si>
    <t>总进度</t>
  </si>
  <si>
    <t>使用：完成栏下拉选择☑；日期与笔记可填写。周一至周五每天1项，周末练习和复盘。</t>
  </si>
  <si>
    <t>周次</t>
  </si>
  <si>
    <t>教材章节</t>
  </si>
  <si>
    <t>任务</t>
  </si>
  <si>
    <t>学习内容 / 对应小节</t>
  </si>
  <si>
    <t>完成</t>
  </si>
  <si>
    <t>完成日期</t>
  </si>
  <si>
    <t>笔记 / 待解决问题</t>
  </si>
  <si>
    <t>周进度</t>
  </si>
  <si>
    <t>上册第一章</t>
  </si>
  <si>
    <t>§1-1 电路和电路模型</t>
  </si>
  <si>
    <t>☐</t>
  </si>
  <si>
    <t>§1-2 电流和电压的参考方向</t>
  </si>
  <si>
    <t>§1-3 基尔霍夫电流定律KCL</t>
  </si>
  <si>
    <t>§1-4 电阻元件</t>
  </si>
  <si>
    <t>§1-5 独立源</t>
  </si>
  <si>
    <t>§1-6 受控源</t>
  </si>
  <si>
    <t>§1-7 运算放大器</t>
  </si>
  <si>
    <t>§1-8 支路分析法</t>
  </si>
  <si>
    <t>第一章综合练习与闭卷小测</t>
  </si>
  <si>
    <t>上册第二章</t>
  </si>
  <si>
    <t>§2-1 线性电路的性质与叠加定理</t>
  </si>
  <si>
    <t>§2-2 替代定理</t>
  </si>
  <si>
    <t>§2-3 戴维宁定理</t>
  </si>
  <si>
    <t>§2-4 诺顿定理</t>
  </si>
  <si>
    <t>叠加与等效电源定理专项练习</t>
  </si>
  <si>
    <t>§2-5 有伴电源的等效变换</t>
  </si>
  <si>
    <t>§2-6 星形与三角形电阻网络等效变换</t>
  </si>
  <si>
    <t>§2-7 特勒根定理</t>
  </si>
  <si>
    <t>§2-8 互易定理</t>
  </si>
  <si>
    <t>等效变换与定理综合练习</t>
  </si>
  <si>
    <t>§2-9 节点分析法</t>
  </si>
  <si>
    <t>§2-10 回路分析法</t>
  </si>
  <si>
    <t>§2-11 电源的转移</t>
  </si>
  <si>
    <t>节点法与回路法比较、方法选择</t>
  </si>
  <si>
    <t>第二章综合练习与闭卷小测</t>
  </si>
  <si>
    <t>上册第三章</t>
  </si>
  <si>
    <t>§3-1 电容元件</t>
  </si>
  <si>
    <t>§3-2 电感元件</t>
  </si>
  <si>
    <t>§3-3 耦合电感元件</t>
  </si>
  <si>
    <t>§3-4 单位阶跃函数</t>
  </si>
  <si>
    <t>§3-4 单位冲激函数</t>
  </si>
  <si>
    <t>§3-5 动态电路的输入—输出方程</t>
  </si>
  <si>
    <t>每周约5小时</t>
  </si>
  <si>
    <t>§3-6 初始状态和初始条件</t>
  </si>
  <si>
    <t>每项：理解概念、掌握公式条件、独立完成基础题。</t>
  </si>
  <si>
    <t>§3-7 零输入响应</t>
  </si>
  <si>
    <t>§3-8 零状态响应</t>
  </si>
  <si>
    <t>§3-9 全响应</t>
  </si>
  <si>
    <t>没掌握就增加巩固周，后续任务顺延。</t>
  </si>
  <si>
    <t>上册第四章</t>
  </si>
  <si>
    <t>§4-1 一阶电路的零输入响应</t>
  </si>
  <si>
    <t>§4-2 一阶电路的阶跃响应</t>
  </si>
  <si>
    <t>§4-3 一阶电路的冲激响应</t>
  </si>
  <si>
    <t>教材目录来源</t>
  </si>
  <si>
    <t>§4-4 一阶电路对阶跃激励的全响应</t>
  </si>
  <si>
    <t>上册：高等教育出版社产品信息系统
下册：全国大中专教材网络采选系统</t>
  </si>
  <si>
    <t>一阶电路初值、终值和时间常数专项练习</t>
  </si>
  <si>
    <t>§4-5 二阶电路的冲激响应：建立方程</t>
  </si>
  <si>
    <t>§4-5 二阶电路的冲激响应：特征根与响应形式</t>
  </si>
  <si>
    <t>§4-6 卷积积分</t>
  </si>
  <si>
    <t>§4-6 零状态响应的卷积计算法</t>
  </si>
  <si>
    <t>第四章综合练习与闭卷小测</t>
  </si>
  <si>
    <t>上册第五章</t>
  </si>
  <si>
    <t>§5-1 正弦电压和电流的基本概念</t>
  </si>
  <si>
    <t>§5-2 线性电路对正弦激励的响应、正弦稳态响应</t>
  </si>
  <si>
    <t>相量前置工具：复数四则运算与两种表示</t>
  </si>
  <si>
    <t>§5-3 正弦量的相量表示法</t>
  </si>
  <si>
    <t>§5-4 基尔霍夫定律的相量形式</t>
  </si>
  <si>
    <t>§5-5 电路元件方程的相量形式</t>
  </si>
  <si>
    <t>§5-6 阻抗和导纳</t>
  </si>
  <si>
    <t>§5-7 阻抗的串联和并联</t>
  </si>
  <si>
    <t>相量与阻抗专项练习</t>
  </si>
  <si>
    <t>第五章综合练习与闭卷小测</t>
  </si>
  <si>
    <t>上册第六章</t>
  </si>
  <si>
    <t>§6-1 正弦电流电路的相量分析</t>
  </si>
  <si>
    <t>§6-2 正弦电流电路中的功率</t>
  </si>
  <si>
    <t>§6-3 谐振电路</t>
  </si>
  <si>
    <t>§6-4 含耦合电感元件的正弦电流电路</t>
  </si>
  <si>
    <t>§6-5 理想变压器</t>
  </si>
  <si>
    <t>上册第七章</t>
  </si>
  <si>
    <t>§7-1 对称三相电压</t>
  </si>
  <si>
    <t>§7-2 三相制的联接法</t>
  </si>
  <si>
    <t>§7-3 对称三相电路的计算</t>
  </si>
  <si>
    <t>§7-4 不对称三相电路的计算</t>
  </si>
  <si>
    <t>§7-5 三相电路中的功率</t>
  </si>
  <si>
    <t>上册第八章</t>
  </si>
  <si>
    <t>§8-1 周期函数的傅里叶级数展开式</t>
  </si>
  <si>
    <t>§8-2 线性电路对周期性激励的稳态响应</t>
  </si>
  <si>
    <t>§8-3 非正弦周期电流、电压的有效值与平均功率</t>
  </si>
  <si>
    <t>傅里叶展开基础练习</t>
  </si>
  <si>
    <t>谐波电路计算专项练习</t>
  </si>
  <si>
    <t>*§8-4 傅里叶级数的指数形式</t>
  </si>
  <si>
    <t>*§8-5 周期信号的频谱简介</t>
  </si>
  <si>
    <t>*§8-6 对称三相电路中的高次谐波</t>
  </si>
  <si>
    <t>非正弦有效值与功率专项练习</t>
  </si>
  <si>
    <t>第八章综合练习与闭卷小测</t>
  </si>
  <si>
    <t>上册第九章</t>
  </si>
  <si>
    <t>§9-1 拉普拉斯变换</t>
  </si>
  <si>
    <t>§9-2 拉普拉斯变换的基本性质</t>
  </si>
  <si>
    <t>§9-3 逆变换的部分分式展开法</t>
  </si>
  <si>
    <t>§9-4 线性动态电路方程的拉普拉斯变换解法</t>
  </si>
  <si>
    <t>第九章综合练习与闭卷小测</t>
  </si>
  <si>
    <t>上册第十章</t>
  </si>
  <si>
    <t>§10-1 基尔霍夫定律的复频域形式</t>
  </si>
  <si>
    <t>§10-2 电路元件的复频域模型、阻抗和导纳</t>
  </si>
  <si>
    <t>§10-3 用复频域模型分析线性动态电路</t>
  </si>
  <si>
    <t>§10-4 网络函数</t>
  </si>
  <si>
    <t>上册动态电路时域与复频域对照练习</t>
  </si>
  <si>
    <t>上册附录</t>
  </si>
  <si>
    <t>§1 非线性电阻元件及其约束关系</t>
  </si>
  <si>
    <t>§2 非线性电阻元件的串联和并联</t>
  </si>
  <si>
    <t>§3 非线性电阻电路的图解分析法</t>
  </si>
  <si>
    <t>§4 小信号分析法</t>
  </si>
  <si>
    <t>上册阶段小测与薄弱点整理</t>
  </si>
  <si>
    <t>下册第一章</t>
  </si>
  <si>
    <t>§1-1 网络的图</t>
  </si>
  <si>
    <t>§1-2 树和树余、树支和连支</t>
  </si>
  <si>
    <t>§1-3 割集</t>
  </si>
  <si>
    <t>§1-4 图的基本回路数和基本割集数</t>
  </si>
  <si>
    <t>§1-5 关联矩阵</t>
  </si>
  <si>
    <t>§1-6 基本割集矩阵</t>
  </si>
  <si>
    <t>§1-7 基本回路矩阵</t>
  </si>
  <si>
    <t>§1-8 矩阵Q与矩阵B之间的关系</t>
  </si>
  <si>
    <t>§1-9 对偶图</t>
  </si>
  <si>
    <t>下册第一章综合练习与闭卷小测</t>
  </si>
  <si>
    <t>下册第二章</t>
  </si>
  <si>
    <t>§2-1 用关联矩阵A表示的基尔霍夫定律矩阵形式</t>
  </si>
  <si>
    <t>§2-2 用基本割集矩阵Q表示的基尔霍夫定律矩阵形式</t>
  </si>
  <si>
    <t>§2-3 用基本回路矩阵B表示的基尔霍夫定律矩阵形式</t>
  </si>
  <si>
    <t>§2-4 用支路阻抗矩阵表示的支路方程</t>
  </si>
  <si>
    <t>§2-5 用支路导纳矩阵表示的支路方程</t>
  </si>
  <si>
    <t>§2-6 节点方程的矩阵形式、节点分析法</t>
  </si>
  <si>
    <t>§2-7 割集方程的矩阵形式、割集分析法</t>
  </si>
  <si>
    <t>§2-8 回路方程的矩阵形式、回路分析法</t>
  </si>
  <si>
    <t>§2-9 对偶网络与对偶原理</t>
  </si>
  <si>
    <t>下册第二章矩阵列式综合练习</t>
  </si>
  <si>
    <t>下册第三章</t>
  </si>
  <si>
    <t>§3-1 网络的状态和状态变量</t>
  </si>
  <si>
    <t>§3-2 状态方程和输出方程</t>
  </si>
  <si>
    <t>§3-3 线性常态网络状态方程的建立</t>
  </si>
  <si>
    <t>§3-4 状态方程的复频域解法</t>
  </si>
  <si>
    <t>状态方程建立与求解专项练习</t>
  </si>
  <si>
    <t>下册第四章</t>
  </si>
  <si>
    <t>§4-1 二端口网络概述</t>
  </si>
  <si>
    <t>§4-2 开路阻抗矩阵</t>
  </si>
  <si>
    <t>§4-3 短路导纳矩阵</t>
  </si>
  <si>
    <t>§4-4 混合参数矩阵</t>
  </si>
  <si>
    <t>§4-5 传输参数矩阵</t>
  </si>
  <si>
    <t>§4-6 不同参数矩阵的互换</t>
  </si>
  <si>
    <t>§4-7 互易条件和对称条件</t>
  </si>
  <si>
    <t>§4-8 二端口网络的等效模型</t>
  </si>
  <si>
    <t>§4-9 二端口网络的联接</t>
  </si>
  <si>
    <t>§4-10 有载二端口网络</t>
  </si>
  <si>
    <t>§4-11 回转器</t>
  </si>
  <si>
    <t>§4-12 负阻抗变换器</t>
  </si>
  <si>
    <t>二端口参数求解专项练习</t>
  </si>
  <si>
    <t>二端口联接与负载计算专项练习</t>
  </si>
  <si>
    <t>下册第四章综合练习与闭卷小测</t>
  </si>
  <si>
    <t>下册第五章</t>
  </si>
  <si>
    <t>§5-1 均匀传输线及其微分方程</t>
  </si>
  <si>
    <t>§5-2 均匀传输线方程的正弦稳态解</t>
  </si>
  <si>
    <t>§5-3 行波及均匀传输线的传播特性</t>
  </si>
  <si>
    <t>§5-4 波的反射与终端匹配的均匀传输线</t>
  </si>
  <si>
    <t>§5-5 无损耗线与驻波</t>
  </si>
  <si>
    <t>下册第六章</t>
  </si>
  <si>
    <t>§6-1 无损耗均匀传输线方程的通解</t>
  </si>
  <si>
    <t>§6-2 始端电压激励下的波过程</t>
  </si>
  <si>
    <t>§6-3 波的反射与折射</t>
  </si>
  <si>
    <t>传输线波过程专项练习</t>
  </si>
  <si>
    <t>上下册学习复盘与下一轮题型清单</t>
  </si>
  <si>
    <t>高等数学上下册学习打卡表</t>
  </si>
  <si>
    <t>完成栏选择☑。每周5项，每项约60—90分钟；周末另留2小时练习、重做错题。</t>
  </si>
  <si>
    <t>36周基础轮：前置2周、上册17周、下册15周、综合2周。暂按同济第七版章序，任务为学习拆分。</t>
  </si>
  <si>
    <t>学习内容 / 知识点</t>
  </si>
  <si>
    <t>前置基础
代数运算</t>
  </si>
  <si>
    <t>整式展开、因式分解</t>
  </si>
  <si>
    <t>分式化简与根式运算</t>
  </si>
  <si>
    <t>方程、不等式与绝对值</t>
  </si>
  <si>
    <t>指数与对数运算</t>
  </si>
  <si>
    <t>前置基础
三角与函数基础</t>
  </si>
  <si>
    <t>弧度制与常用角的三角函数值</t>
  </si>
  <si>
    <t>三角函数图像与周期</t>
  </si>
  <si>
    <t>基本三角恒等式</t>
  </si>
  <si>
    <t>反三角函数及定义域</t>
  </si>
  <si>
    <t>坐标、直线与基础综合练习</t>
  </si>
  <si>
    <t>上册第1章
函数与极限</t>
  </si>
  <si>
    <t>定义域、值域与函数图像</t>
  </si>
  <si>
    <t>复合函数与反函数</t>
  </si>
  <si>
    <t>奇偶性、周期性、单调性与有界性</t>
  </si>
  <si>
    <t>基本初等函数与分段函数</t>
  </si>
  <si>
    <t>上册第1章
极限概念</t>
  </si>
  <si>
    <t>数列极限的直观意义与定义</t>
  </si>
  <si>
    <t>函数极限、左右极限与存在条件</t>
  </si>
  <si>
    <t>无穷小与无穷大</t>
  </si>
  <si>
    <t>极限性质与四则运算法则</t>
  </si>
  <si>
    <t>概念辨析与基础极限练习</t>
  </si>
  <si>
    <t>上册第1章
极限计算</t>
  </si>
  <si>
    <t>夹逼准则与单调有界准则</t>
  </si>
  <si>
    <t>两个重要极限及使用条件</t>
  </si>
  <si>
    <t>无穷小比较与常用等价无穷小</t>
  </si>
  <si>
    <t>因式分解、有理化与变量代换求极限</t>
  </si>
  <si>
    <t>含参数极限与求极限方法选择</t>
  </si>
  <si>
    <t>上册第1章
连续性</t>
  </si>
  <si>
    <t>函数连续与左右连续</t>
  </si>
  <si>
    <t>间断点的类型与判断</t>
  </si>
  <si>
    <t>连续函数运算与初等函数连续性</t>
  </si>
  <si>
    <t>闭区间上的最值、介值与零点定理</t>
  </si>
  <si>
    <t>函数、极限、连续章节小测与错题重做</t>
  </si>
  <si>
    <t>上册第2章
导数入门</t>
  </si>
  <si>
    <t>导数定义与几何意义</t>
  </si>
  <si>
    <t>左右导数、可导与连续的关系</t>
  </si>
  <si>
    <t>基本初等函数求导公式</t>
  </si>
  <si>
    <t>和、积、商的求导法则</t>
  </si>
  <si>
    <t>复合函数链式求导</t>
  </si>
  <si>
    <t>上册第2章
导数与微分</t>
  </si>
  <si>
    <t>反函数与隐函数求导</t>
  </si>
  <si>
    <t>参数方程求导</t>
  </si>
  <si>
    <t>高阶导数与常用求法</t>
  </si>
  <si>
    <t>微分的概念与计算</t>
  </si>
  <si>
    <t>每周节奏</t>
  </si>
  <si>
    <t>分段函数可导性与综合求导练习</t>
  </si>
  <si>
    <t>高数约7—9.5小时/周。其余时间分配给电路和英语。学不会时增加巩固周，后续顺延。</t>
  </si>
  <si>
    <t>上册第3章
中值定理与极限</t>
  </si>
  <si>
    <t>罗尔定理及条件检查</t>
  </si>
  <si>
    <t>拉格朗日中值定理</t>
  </si>
  <si>
    <t>柯西中值定理与证明入门</t>
  </si>
  <si>
    <t>洛必达法则及适用条件</t>
  </si>
  <si>
    <t>完成标准</t>
  </si>
  <si>
    <t>泰勒公式、常用展开与求极限</t>
  </si>
  <si>
    <t>概念能讲清，公式条件能写出，独立做对5—8道基础题。复习项做限时训练并订正。</t>
  </si>
  <si>
    <t>上册第3章
导数应用</t>
  </si>
  <si>
    <t>单调区间、极值与最值</t>
  </si>
  <si>
    <t>凹凸性与拐点</t>
  </si>
  <si>
    <t>渐近线与函数图像分析</t>
  </si>
  <si>
    <t>最值应用与不等式证明</t>
  </si>
  <si>
    <t>2027年后续安排</t>
  </si>
  <si>
    <t>曲率、方程近似解读懂方法与章节小测</t>
  </si>
  <si>
    <t>若2026年10月开始，约2027年6月完成本轮。6—8月安排高数强化，并补齐线性代数、概率论与数理统计；9—11月真题与模拟；12月复盘。</t>
  </si>
  <si>
    <t>上册第4章
不定积分入门</t>
  </si>
  <si>
    <t>原函数、不定积分与积分常数</t>
  </si>
  <si>
    <t>基本积分公式与直接积分</t>
  </si>
  <si>
    <t>第一类换元法：凑微分</t>
  </si>
  <si>
    <t>第二类换元法：三角与根式代换</t>
  </si>
  <si>
    <t>换元积分专项练习</t>
  </si>
  <si>
    <t>教材与范围</t>
  </si>
  <si>
    <t>上册第4章
积分技巧</t>
  </si>
  <si>
    <t>分部积分公式与方法选择</t>
  </si>
  <si>
    <t>暂按同济《高等数学》第七版上下册；其他版本按主题对应。这里仅安排高数，不等于数学一全部内容。考试范围以目标年度大纲核对。</t>
  </si>
  <si>
    <t>有理函数积分与部分分式</t>
  </si>
  <si>
    <t>三角函数有理式积分</t>
  </si>
  <si>
    <t>简单无理函数积分</t>
  </si>
  <si>
    <t>不定积分综合练习与错题重做</t>
  </si>
  <si>
    <t>上册第5章
定积分入门</t>
  </si>
  <si>
    <t>定积分定义与几何意义</t>
  </si>
  <si>
    <t>章节来源</t>
  </si>
  <si>
    <t>定积分基本性质</t>
  </si>
  <si>
    <t>上册：https://xuanshu.hep.com.cn/front/h5Mobile/bookDetails?bookId=59cfa123ba9eb884cf8241de</t>
  </si>
  <si>
    <t>积分中值定理</t>
  </si>
  <si>
    <t>变上限积分与求导</t>
  </si>
  <si>
    <t>牛顿—莱布尼茨公式</t>
  </si>
  <si>
    <t>上册第5章
定积分计算</t>
  </si>
  <si>
    <t>定积分换元法与上下限变化</t>
  </si>
  <si>
    <t>下册：https://xuanshu.hep.com.cn/front/h5Mobile/bookDetails?bookId=59cf6e8dba9eb884cf822dc2</t>
  </si>
  <si>
    <t>定积分分部积分法</t>
  </si>
  <si>
    <t>奇偶性、周期性与对称区间积分</t>
  </si>
  <si>
    <t>反常积分：无穷区间与无界函数</t>
  </si>
  <si>
    <t>定积分与变限积分综合练习</t>
  </si>
  <si>
    <t>上册第6章
定积分应用</t>
  </si>
  <si>
    <t>直角坐标与参数方程下的平面面积</t>
  </si>
  <si>
    <t>极坐标面积</t>
  </si>
  <si>
    <t>旋转体体积与截面法</t>
  </si>
  <si>
    <t>平面曲线弧长与旋转曲面面积</t>
  </si>
  <si>
    <t>物理应用：功、压力、引力的建模</t>
  </si>
  <si>
    <t>上册第7章
一阶微分方程</t>
  </si>
  <si>
    <t>微分方程、通解、特解与初值</t>
  </si>
  <si>
    <t>可分离变量方程</t>
  </si>
  <si>
    <t>齐次方程与变量代换</t>
  </si>
  <si>
    <t>一阶线性方程</t>
  </si>
  <si>
    <t>伯努利方程与一阶方程方法辨认</t>
  </si>
  <si>
    <t>上册第7章
高阶微分方程</t>
  </si>
  <si>
    <t>可降阶方程的三类基本形式</t>
  </si>
  <si>
    <t>线性方程解的结构</t>
  </si>
  <si>
    <t>二阶常系数齐次方程</t>
  </si>
  <si>
    <t>二阶常系数非齐次方程</t>
  </si>
  <si>
    <t>欧拉方程与微分方程应用练习</t>
  </si>
  <si>
    <t>上册复习
一元微分专项</t>
  </si>
  <si>
    <t>极限题型整理与基础限时练习</t>
  </si>
  <si>
    <t>连续、可导与分段函数专项</t>
  </si>
  <si>
    <t>高阶导数与隐函数求导专项</t>
  </si>
  <si>
    <t>中值定理证明专项</t>
  </si>
  <si>
    <t>导数应用专项与错题复盘</t>
  </si>
  <si>
    <t>上册复习
一元积分与方程专项</t>
  </si>
  <si>
    <t>不定积分方法选择专项</t>
  </si>
  <si>
    <t>定积分与变限积分专项</t>
  </si>
  <si>
    <t>积分应用专项</t>
  </si>
  <si>
    <t>微分方程专项</t>
  </si>
  <si>
    <t>上册综合小测、订正与薄弱点清单</t>
  </si>
  <si>
    <t>下册第8章
向量代数</t>
  </si>
  <si>
    <t>空间坐标与向量表示</t>
  </si>
  <si>
    <t>向量加减、数量乘法与模</t>
  </si>
  <si>
    <t>数量积、夹角与投影</t>
  </si>
  <si>
    <t>向量积与面积</t>
  </si>
  <si>
    <t>混合积、体积与共面判定</t>
  </si>
  <si>
    <t>下册第8章
空间解析几何</t>
  </si>
  <si>
    <t>平面方程与法向量</t>
  </si>
  <si>
    <t>空间直线方程与方向向量</t>
  </si>
  <si>
    <t>点线面的位置关系、夹角与距离</t>
  </si>
  <si>
    <t>常见曲面及其方程</t>
  </si>
  <si>
    <t>空间曲线、投影与章节练习</t>
  </si>
  <si>
    <t>下册第9章
多元微分入门</t>
  </si>
  <si>
    <t>多元函数的定义域与图像</t>
  </si>
  <si>
    <t>二元函数极限与连续</t>
  </si>
  <si>
    <t>偏导数的定义与计算</t>
  </si>
  <si>
    <t>高阶偏导数与混合偏导</t>
  </si>
  <si>
    <t>全微分、可微与偏导连续的关系</t>
  </si>
  <si>
    <t>下册第9章
复合与隐函数</t>
  </si>
  <si>
    <t>多元复合函数链式求导</t>
  </si>
  <si>
    <t>复合函数二阶偏导</t>
  </si>
  <si>
    <t>一个方程确定的隐函数求导</t>
  </si>
  <si>
    <t>方程组确定的隐函数求导</t>
  </si>
  <si>
    <t>链式法则与隐函数综合练习</t>
  </si>
  <si>
    <t>下册第9章
多元微分应用</t>
  </si>
  <si>
    <t>空间曲线切线与法平面</t>
  </si>
  <si>
    <t>曲面切平面与法线</t>
  </si>
  <si>
    <t>方向导数与梯度</t>
  </si>
  <si>
    <t>多元函数极值及二阶判别</t>
  </si>
  <si>
    <t>条件极值、拉格朗日乘数法与最值</t>
  </si>
  <si>
    <t>下册第10章
二重积分基础</t>
  </si>
  <si>
    <t>二重积分定义与性质</t>
  </si>
  <si>
    <t>画积分区域与直角坐标累次积分</t>
  </si>
  <si>
    <t>交换积分次序</t>
  </si>
  <si>
    <t>极坐标变换与面积因子</t>
  </si>
  <si>
    <t>两种坐标方法选择与基础练习</t>
  </si>
  <si>
    <t>下册第10章
二重积分进阶</t>
  </si>
  <si>
    <t>对称性与积分区域拆分</t>
  </si>
  <si>
    <t>一般变量代换与雅可比行列式</t>
  </si>
  <si>
    <t>含参数或变限的二重积分</t>
  </si>
  <si>
    <t>二重积分的面积、质量与质心应用</t>
  </si>
  <si>
    <t>二重积分专项小测与错题重做</t>
  </si>
  <si>
    <t>下册第10章
三重积分</t>
  </si>
  <si>
    <t>三重积分定义与直角坐标计算</t>
  </si>
  <si>
    <t>柱面坐标与体积因子</t>
  </si>
  <si>
    <t>球面坐标与体积因子</t>
  </si>
  <si>
    <t>三重积分的对称性与计算应用</t>
  </si>
  <si>
    <t>重积分综合练习与章节复盘</t>
  </si>
  <si>
    <t>下册第11章
曲线积分</t>
  </si>
  <si>
    <t>第一类曲线积分：对弧长积分</t>
  </si>
  <si>
    <t>第一类曲线积分参数化与计算</t>
  </si>
  <si>
    <t>第二类曲线积分：对坐标积分</t>
  </si>
  <si>
    <t>第二类曲线积分方向与参数化</t>
  </si>
  <si>
    <t>两类曲线积分关系与对照练习</t>
  </si>
  <si>
    <t>下册第11章
格林公式</t>
  </si>
  <si>
    <t>格林公式及使用条件</t>
  </si>
  <si>
    <t>区域正向与边界方向判断</t>
  </si>
  <si>
    <t>用格林公式计算闭合曲线积分</t>
  </si>
  <si>
    <t>路径无关条件与原函数求法</t>
  </si>
  <si>
    <t>非闭合路径、补线与奇点检查</t>
  </si>
  <si>
    <t>下册第11章
曲面积分</t>
  </si>
  <si>
    <t>第一类曲面积分：对面积积分</t>
  </si>
  <si>
    <t>曲面参数化与面积元素</t>
  </si>
  <si>
    <t>第二类曲面积分：通量与曲面定向</t>
  </si>
  <si>
    <t>投影法与法向量符号</t>
  </si>
  <si>
    <t>两类曲面积分关系与基础练习</t>
  </si>
  <si>
    <t>下册第11章
高斯与斯托克斯公式</t>
  </si>
  <si>
    <t>高斯公式、闭合曲面与外法向</t>
  </si>
  <si>
    <t>补面法与高斯公式计算</t>
  </si>
  <si>
    <t>斯托克斯公式与边界方向</t>
  </si>
  <si>
    <t>散度、旋度的概念与计算</t>
  </si>
  <si>
    <t>曲线曲面积分综合练习与条件检查</t>
  </si>
  <si>
    <t>下册第12章
数项级数</t>
  </si>
  <si>
    <t>级数、部分和与收敛的必要条件</t>
  </si>
  <si>
    <t>几何级数、p级数与基本性质</t>
  </si>
  <si>
    <t>正项级数比较与极限比较判别</t>
  </si>
  <si>
    <t>比值、根值与积分判别法</t>
  </si>
  <si>
    <t>交错级数、绝对收敛与条件收敛</t>
  </si>
  <si>
    <t>下册第12章
幂级数</t>
  </si>
  <si>
    <t>幂级数、收敛半径与收敛区间</t>
  </si>
  <si>
    <t>端点收敛性逐一检查</t>
  </si>
  <si>
    <t>幂级数逐项求导与积分</t>
  </si>
  <si>
    <t>常用函数的幂级数展开</t>
  </si>
  <si>
    <t>求和函数及展开、求和综合练习</t>
  </si>
  <si>
    <t>下册第12章
傅里叶级数</t>
  </si>
  <si>
    <t>三角级数与傅里叶系数</t>
  </si>
  <si>
    <t>狄利克雷收敛定理与间断点取值</t>
  </si>
  <si>
    <t>正弦级数、余弦级数与延拓</t>
  </si>
  <si>
    <t>一般周期函数的傅里叶展开</t>
  </si>
  <si>
    <t>级数章节小测与错题重做</t>
  </si>
  <si>
    <t>综合复习
高数题型整合</t>
  </si>
  <si>
    <t>极限、连续与微分综合训练</t>
  </si>
  <si>
    <t>一元积分与微分方程综合训练</t>
  </si>
  <si>
    <t>空间解析几何与多元微分训练</t>
  </si>
  <si>
    <t>重积分与曲线曲面积分训练</t>
  </si>
  <si>
    <t>无穷级数综合训练</t>
  </si>
  <si>
    <t>综合复习
阶段验收</t>
  </si>
  <si>
    <t>高数综合限时练习A与订正</t>
  </si>
  <si>
    <t>高数综合限时练习B与订正</t>
  </si>
  <si>
    <t>错题按概念、计算、方法分类重做</t>
  </si>
  <si>
    <t>闭卷写核心公式与使用条件</t>
  </si>
  <si>
    <t>整理薄弱点与下一轮高数强化任务</t>
  </si>
  <si>
    <t>英语一复习计划学习打卡表</t>
  </si>
  <si>
    <t>每周5项；完成栏选择☑，自动统计进度。日期为建议安排，可按实际进度顺延。</t>
  </si>
  <si>
    <t>62周：基础12周、阅读20周、全题型12周、真题14周、冲刺4周。目标：2027年12月初试。</t>
  </si>
  <si>
    <t>周开始</t>
  </si>
  <si>
    <t>周结束</t>
  </si>
  <si>
    <t>阶段 / 模块</t>
  </si>
  <si>
    <t>学习内容 / 要求</t>
  </si>
  <si>
    <t>基础积累</t>
  </si>
  <si>
    <t>词汇：每天新学20—30词并复习旧词，至少6天</t>
  </si>
  <si>
    <t>语法重点：词性与五种基本句型</t>
  </si>
  <si>
    <t>拆解6个例句，标主干并译成中文</t>
  </si>
  <si>
    <t>精读1篇较早年份英语一真题阅读，先理解再做题</t>
  </si>
  <si>
    <t>周末闭卷回忆词汇、重做语法与阅读错题</t>
  </si>
  <si>
    <t>语法重点：主语、谓语、宾语与句子主干</t>
  </si>
  <si>
    <t>语法重点：时态与被动语态</t>
  </si>
  <si>
    <t>语法重点：并列句与逻辑连接词</t>
  </si>
  <si>
    <t>语法重点：定语从句</t>
  </si>
  <si>
    <t>语法重点：名词性从句</t>
  </si>
  <si>
    <t>语法重点：状语从句</t>
  </si>
  <si>
    <t>语法重点：非谓语：不定式与动名词</t>
  </si>
  <si>
    <t>语法重点：非谓语：分词作修饰语</t>
  </si>
  <si>
    <t>语法重点：比较结构、否定与省略</t>
  </si>
  <si>
    <t>语法重点：倒装、强调与插入语</t>
  </si>
  <si>
    <t>语法重点：长难句综合拆解</t>
  </si>
  <si>
    <t>阅读训练</t>
  </si>
  <si>
    <t>词汇：每天20—30个新词或薄弱词，滚动复习6天</t>
  </si>
  <si>
    <t>阅读方法：主旨与段落中心，整理判断依据</t>
  </si>
  <si>
    <t>独立完成2篇较早年份阅读并记录用时</t>
  </si>
  <si>
    <t>精读上述文章，分析6个长句与错误选项</t>
  </si>
  <si>
    <t>翻译3个真题句子，周末重做本周错题</t>
  </si>
  <si>
    <t>日常安排</t>
  </si>
  <si>
    <t>阅读方法：细节定位与同义改写，整理判断依据</t>
  </si>
  <si>
    <t>英语每天约35—45分钟，词汇15—20分钟、句子或题型20—25分钟；周末另留约1小时精读或写作。周任务分散完成，不要求一次做完。</t>
  </si>
  <si>
    <t>阅读方法：推理题与证据范围，整理判断依据</t>
  </si>
  <si>
    <t>真题使用</t>
  </si>
  <si>
    <t>先做较早年份真题，预留考前已公开的较新3套用于模拟。较新试卷未公开时不提前指定。真题精读包括词义、句子主干、逻辑和选项依据。</t>
  </si>
  <si>
    <t>阅读方法：作者态度与语气，整理判断依据</t>
  </si>
  <si>
    <t>词汇与完成标准</t>
  </si>
  <si>
    <t>基础期每周新词约120—180个，按1、3、7天滚动复习。复习任务至少6天；题型任务独立作答并订正后再勾选。量过大时减少新词，保留复习。</t>
  </si>
  <si>
    <t>阅读方法：词义猜测与上下文，整理判断依据</t>
  </si>
  <si>
    <t>阅读方法：例证题与论点关系，整理判断依据</t>
  </si>
  <si>
    <t>后期时间协调</t>
  </si>
  <si>
    <t>整卷训练需要连续3小时，可用周末替换其他学习时段。政治加量后，英语维持约30—40分钟/天；数学和电路转向题型复习，避免四科任务都叠加。</t>
  </si>
  <si>
    <t>阅读方法：转折、因果与让步，整理判断依据</t>
  </si>
  <si>
    <t>大纲核对</t>
  </si>
  <si>
    <t>2028研考英语一大纲发布后核对词汇要求、题型与写作任务。按英语一训练，不混用英语二的翻译、写作要求。官方入口：https://yankao.neea.edu.cn/</t>
  </si>
  <si>
    <t>阅读方法：干扰项：偷换、扩大与无中生有，整理判断依据</t>
  </si>
  <si>
    <t>阅读方法：长难句与指代，整理判断依据</t>
  </si>
  <si>
    <t>阅读方法：段落结构与篇章逻辑，整理判断依据</t>
  </si>
  <si>
    <t>全题型训练</t>
  </si>
  <si>
    <t>词汇：每天复习熟词僻义、搭配与错词，至少6天</t>
  </si>
  <si>
    <t>题型重点：新题型：排序与衔接，学习方法并完成专项</t>
  </si>
  <si>
    <t>阅读2篇并精读订正；逐步练习约20分钟/篇</t>
  </si>
  <si>
    <t>翻译3句；写1篇小作文或大作文并修改</t>
  </si>
  <si>
    <t>完成1篇完形或1组新题型，复盘错误原因</t>
  </si>
  <si>
    <t>题型重点：新题型：句段匹配，学习方法并完成专项</t>
  </si>
  <si>
    <t>题型重点：新题型：标题匹配，学习方法并完成专项</t>
  </si>
  <si>
    <t>题型重点：翻译：主干与修饰语，学习方法并完成专项</t>
  </si>
  <si>
    <t>题型重点：翻译：从句与非谓语，学习方法并完成专项</t>
  </si>
  <si>
    <t>题型重点：完形：逻辑关系与搭配，学习方法并完成专项</t>
  </si>
  <si>
    <t>题型重点：小作文：请求、建议与道歉，学习方法并完成专项</t>
  </si>
  <si>
    <t>题型重点：小作文：通知、邀请与推荐，学习方法并完成专项</t>
  </si>
  <si>
    <t>题型重点：大作文：图画描述与论证，学习方法并完成专项</t>
  </si>
  <si>
    <t>题型重点：大作文：图表描述与比较，学习方法并完成专项</t>
  </si>
  <si>
    <t>题型重点：大小作文审题与语言订正，学习方法并完成专项</t>
  </si>
  <si>
    <t>题型重点：全题型综合与时间分配，学习方法并完成专项</t>
  </si>
  <si>
    <t>真题强化</t>
  </si>
  <si>
    <t>词汇：复习真题词汇与薄弱词，至少6天</t>
  </si>
  <si>
    <t>阅读限时4篇，记录每题证据与错误原因</t>
  </si>
  <si>
    <t>完成同套完形、新题型及翻译并订正</t>
  </si>
  <si>
    <t>限时写小作文和大作文，检查内容、语法与拼写</t>
  </si>
  <si>
    <t>整套真题或模拟限时180分钟，使用未做套卷；单独安排3小时</t>
  </si>
  <si>
    <t>复盘上周套卷，重做错题并调整答题顺序</t>
  </si>
  <si>
    <t>冲刺复盘</t>
  </si>
  <si>
    <t>词汇：只复习错词、熟词僻义与固定搭配</t>
  </si>
  <si>
    <t>阅读：重做易错题，说明正确与错误选项依据</t>
  </si>
  <si>
    <t>写作：各写1篇大小作文，复习自己的表达库</t>
  </si>
  <si>
    <t>新题型、翻译与完形：薄弱题型各做1组</t>
  </si>
  <si>
    <t>用预留的较新真题做180分钟整卷模拟并订正</t>
  </si>
  <si>
    <t>核对正式考试日期，回顾错题与时间分配，减少新题</t>
  </si>
  <si>
    <t>政治复习计划学习打卡表</t>
  </si>
  <si>
    <t>28周：基础16周、强化6周、冲刺6周。时政、背诵资料按目标年度更新。</t>
  </si>
  <si>
    <t>马原：哲学基础</t>
  </si>
  <si>
    <t>物质与意识、世界的物质统一性</t>
  </si>
  <si>
    <t>实践与认识的关系</t>
  </si>
  <si>
    <t>联系、发展与矛盾</t>
  </si>
  <si>
    <t>量变质变、否定之否定及方法论</t>
  </si>
  <si>
    <t>做本周知识点选择题20—30题并订正</t>
  </si>
  <si>
    <t>马原：认识与历史</t>
  </si>
  <si>
    <t>认识过程、真理与价值</t>
  </si>
  <si>
    <t>社会存在与社会意识</t>
  </si>
  <si>
    <t>生产力、生产关系与社会基本矛盾</t>
  </si>
  <si>
    <t>人民群众、历史人物与社会发展</t>
  </si>
  <si>
    <t>做选择题20—30题，整理易混概念</t>
  </si>
  <si>
    <t>马原：政治经济学</t>
  </si>
  <si>
    <t>商品、价值与劳动二重性</t>
  </si>
  <si>
    <t>货币、价值规律与市场</t>
  </si>
  <si>
    <t>剩余价值与资本积累</t>
  </si>
  <si>
    <t>资本循环周转、社会再生产</t>
  </si>
  <si>
    <t>做选择题20—30题并画概念关系图</t>
  </si>
  <si>
    <t>马原：资本主义与社会主义</t>
  </si>
  <si>
    <t>垄断资本主义与经济全球化</t>
  </si>
  <si>
    <t>当代资本主义变化与发展趋势</t>
  </si>
  <si>
    <t>社会主义从空想到科学</t>
  </si>
  <si>
    <t>科学社会主义基本原则</t>
  </si>
  <si>
    <t>共产主义理想与马原章节复盘</t>
  </si>
  <si>
    <t>马原巩固</t>
  </si>
  <si>
    <t>闭卷回忆哲学核心原理</t>
  </si>
  <si>
    <t>政治经济学计算与概念辨析</t>
  </si>
  <si>
    <t>马原选择题专项30题</t>
  </si>
  <si>
    <t>分析题入门：从材料识别原理</t>
  </si>
  <si>
    <t>重做错题并整理原理使用条件</t>
  </si>
  <si>
    <t>毛中特：毛泽东思想</t>
  </si>
  <si>
    <t>毛泽东思想的形成、发展与活的灵魂</t>
  </si>
  <si>
    <t>新民主主义革命理论</t>
  </si>
  <si>
    <t>社会主义改造理论</t>
  </si>
  <si>
    <t>社会主义建设道路初步探索</t>
  </si>
  <si>
    <t>选择题20—30题与阶段时间线</t>
  </si>
  <si>
    <t>毛中特：理论发展</t>
  </si>
  <si>
    <t>中国特色社会主义理论体系的发展脉络</t>
  </si>
  <si>
    <t>邓小平理论</t>
  </si>
  <si>
    <t>2026年10月—2027年5月</t>
  </si>
  <si>
    <t>三个代表重要思想</t>
  </si>
  <si>
    <t>轻量预习：每周两次、每次15分钟，读懂马原概念并举生活例子；不提前背过时的时政或冲刺答案。正式任务从2027年6月开始。</t>
  </si>
  <si>
    <t>科学发展观</t>
  </si>
  <si>
    <t>毛中特选择题与易混表述对照</t>
  </si>
  <si>
    <t>史纲：近代探索</t>
  </si>
  <si>
    <t>近代中国社会性质与主要矛盾</t>
  </si>
  <si>
    <t>反侵略斗争与早期国家出路探索</t>
  </si>
  <si>
    <t>辛亥革命与近代中国的变化</t>
  </si>
  <si>
    <t>新文化运动、五四运动与党的成立</t>
  </si>
  <si>
    <t>基础与强化时间</t>
  </si>
  <si>
    <t>选择题20—30题与事件时间线</t>
  </si>
  <si>
    <t>6—9月每周约2—3小时，每项约25—35分钟。选择题先理解概念，错误选项也要说明原因；做题数量按理解程度调整。</t>
  </si>
  <si>
    <t>史纲：革命进程</t>
  </si>
  <si>
    <t>大革命与土地革命战争</t>
  </si>
  <si>
    <t>全民族抗日战争</t>
  </si>
  <si>
    <t>解放战争与新中国成立</t>
  </si>
  <si>
    <t>革命胜利的原因与经验</t>
  </si>
  <si>
    <t>史纲革命时期选择题专项</t>
  </si>
  <si>
    <t>史纲：建设与改革</t>
  </si>
  <si>
    <t>新中国成立与社会主义制度确立</t>
  </si>
  <si>
    <t>冲刺时间</t>
  </si>
  <si>
    <t>社会主义建设的探索</t>
  </si>
  <si>
    <t>10—12月逐步增加到每天约40—60分钟。周末整卷需连续3小时，替换当日其他科目时段。每周背诵后闭卷写提纲，检查是否记住。</t>
  </si>
  <si>
    <t>改革开放的历史进程</t>
  </si>
  <si>
    <t>中国特色社会主义进入新时代的历史进程</t>
  </si>
  <si>
    <t>史纲时间线串联与选择题复盘</t>
  </si>
  <si>
    <t>习思想：总体框架</t>
  </si>
  <si>
    <t>新时代与新征程的总体认识</t>
  </si>
  <si>
    <t>党的领导与人民立场</t>
  </si>
  <si>
    <t>中国式现代化</t>
  </si>
  <si>
    <t>全面深化改革开放与高质量发展</t>
  </si>
  <si>
    <t>知识项：能用自己的话解释并做对应选择题。刷题项：作答、订正、回看知识点。背诵项：闭卷回忆。模拟项：限时完成并逐题复盘。</t>
  </si>
  <si>
    <t>选择题20—30题与框架回忆</t>
  </si>
  <si>
    <t>习思想：主要领域</t>
  </si>
  <si>
    <t>教育、科技、人才与创新发展</t>
  </si>
  <si>
    <t>全过程人民民主与全面依法治国</t>
  </si>
  <si>
    <t>文化建设与意识形态</t>
  </si>
  <si>
    <t>民生、社会治理与生态文明</t>
  </si>
  <si>
    <t>选择题20—30题与相近概念辨析</t>
  </si>
  <si>
    <t>内容与日期更新</t>
  </si>
  <si>
    <t>习思想：战略与保障</t>
  </si>
  <si>
    <t>总体国家安全观</t>
  </si>
  <si>
    <t>模块按马原、毛中特、史纲、习思想、思法及形势政策安排。目标年度考试范围、表述和正式初试日期以2028研考公告及大纲为准；最后几周随日期调整。</t>
  </si>
  <si>
    <t>国防军队建设与一国两制</t>
  </si>
  <si>
    <t>中国特色大国外交与人类命运共同体</t>
  </si>
  <si>
    <t>全面从严治党</t>
  </si>
  <si>
    <t>结合目标年度大纲核对框架并练选择题</t>
  </si>
  <si>
    <t>思法：思想道德</t>
  </si>
  <si>
    <t>人生观与人生价值</t>
  </si>
  <si>
    <t>理想信念与中国精神</t>
  </si>
  <si>
    <t>官方核对入口</t>
  </si>
  <si>
    <t>社会主义核心价值观</t>
  </si>
  <si>
    <t>全国硕士研究生招生考试大纲与公告：https://yankao.neea.edu.cn/。政治使用目标年度资料；较早年份真题用于方法训练，时政答案需检查时效。</t>
  </si>
  <si>
    <t>道德、社会公德与职业家庭个人品德</t>
  </si>
  <si>
    <t>选择题20—30题与生活情境辨析</t>
  </si>
  <si>
    <t>思法：法治基础</t>
  </si>
  <si>
    <t>社会主义法律的特征与运行</t>
  </si>
  <si>
    <t>宪法与法律体系</t>
  </si>
  <si>
    <t>法治思维、权利与义务</t>
  </si>
  <si>
    <t>尊法学法守法用法</t>
  </si>
  <si>
    <t>思法选择题专项与错题整理</t>
  </si>
  <si>
    <t>基础轮验收与大纲核对</t>
  </si>
  <si>
    <t>核对2028研考新版大纲，列新增与调整内容</t>
  </si>
  <si>
    <t>完成新增内容学习与教材对应</t>
  </si>
  <si>
    <t>政治各模块混合选择题40题</t>
  </si>
  <si>
    <t>按模块统计薄弱点并补学</t>
  </si>
  <si>
    <t>整理第一轮错题与概念框架</t>
  </si>
  <si>
    <t>强化：马原</t>
  </si>
  <si>
    <t>哲学易混原理重学</t>
  </si>
  <si>
    <t>政治经济学薄弱点重学</t>
  </si>
  <si>
    <t>马原选择题30—40题</t>
  </si>
  <si>
    <t>写1道马原分析题的原理与材料对应</t>
  </si>
  <si>
    <t>错题重做与口述原理</t>
  </si>
  <si>
    <t>强化：毛中特与史纲</t>
  </si>
  <si>
    <t>毛中特核心概念辨析</t>
  </si>
  <si>
    <t>史纲时间线与会议、事件辨析</t>
  </si>
  <si>
    <t>两个模块选择题30—40题</t>
  </si>
  <si>
    <t>写1道史纲或毛中特分析题提纲</t>
  </si>
  <si>
    <t>错题重做与历史逻辑复盘</t>
  </si>
  <si>
    <t>强化：习思想</t>
  </si>
  <si>
    <t>目标年度新增表述专题</t>
  </si>
  <si>
    <t>经济、政治、文化、社会、生态框架</t>
  </si>
  <si>
    <t>国家安全、外交与党的建设框架</t>
  </si>
  <si>
    <t>习思想选择题30—40题</t>
  </si>
  <si>
    <t>写1道分析题提纲并用材料说明</t>
  </si>
  <si>
    <t>强化：思法与时政</t>
  </si>
  <si>
    <t>思法易混概念与法律基础复盘</t>
  </si>
  <si>
    <t>整理目标年度国内重大时政</t>
  </si>
  <si>
    <t>整理目标年度国际重大时政</t>
  </si>
  <si>
    <t>思法、时政选择题30—40题</t>
  </si>
  <si>
    <t>检查时政资料时效并重做错题</t>
  </si>
  <si>
    <t>强化：混合选择题</t>
  </si>
  <si>
    <t>混合选择题40题并限时</t>
  </si>
  <si>
    <t>单选错误逐项订正</t>
  </si>
  <si>
    <t>多选错误分析漏选与误选原因</t>
  </si>
  <si>
    <t>薄弱模块回教材重新理解</t>
  </si>
  <si>
    <t>重做本轮错题并更新薄弱点清单</t>
  </si>
  <si>
    <t>强化：分析题方法</t>
  </si>
  <si>
    <t>材料审题与问题拆分</t>
  </si>
  <si>
    <t>马原题：原理、材料、结论</t>
  </si>
  <si>
    <t>史纲与毛中特题：历史背景与意义</t>
  </si>
  <si>
    <t>习思想与思法题：知识点结合材料</t>
  </si>
  <si>
    <t>综合分析题训练与要点订正</t>
  </si>
  <si>
    <t>冲刺：第一轮背诵</t>
  </si>
  <si>
    <t>按目标年度资料整理马原答题要点</t>
  </si>
  <si>
    <t>整理史纲、毛中特答题要点</t>
  </si>
  <si>
    <t>整理习思想答题要点</t>
  </si>
  <si>
    <t>整理思法、时政答题要点</t>
  </si>
  <si>
    <t>完成1套选择题模拟并订正</t>
  </si>
  <si>
    <t>冲刺：时政与新增</t>
  </si>
  <si>
    <t>复习目标年度国内时政专题</t>
  </si>
  <si>
    <t>复习国际时政与中国外交专题</t>
  </si>
  <si>
    <t>复习新版大纲新增调整内容</t>
  </si>
  <si>
    <t>闭卷写分析题提纲2—3道</t>
  </si>
  <si>
    <t>冲刺：整卷训练A</t>
  </si>
  <si>
    <t>完成180分钟整卷模拟A；单独安排3小时</t>
  </si>
  <si>
    <t>订正单选与多选，回看原知识点</t>
  </si>
  <si>
    <t>对照要点订正分析题</t>
  </si>
  <si>
    <t>重做高频错题并复习时政</t>
  </si>
  <si>
    <t>背诵后闭卷回忆核心答题要点</t>
  </si>
  <si>
    <t>冲刺：整卷训练B</t>
  </si>
  <si>
    <t>完成180分钟整卷模拟B；单独安排3小时</t>
  </si>
  <si>
    <t>订正选择题并整理易混清单</t>
  </si>
  <si>
    <t>分析题按问作答、材料与知识结合</t>
  </si>
  <si>
    <t>背诵后闭卷写要点，避免只看不记</t>
  </si>
  <si>
    <t>查漏补缺与时政更新</t>
  </si>
  <si>
    <t>冲刺：整卷训练C</t>
  </si>
  <si>
    <t>完成180分钟整卷模拟C；单独安排3小时</t>
  </si>
  <si>
    <t>复盘用时与答题顺序</t>
  </si>
  <si>
    <t>选择题错题最后一轮重做</t>
  </si>
  <si>
    <t>分析题分模块闭卷回忆与补漏</t>
  </si>
  <si>
    <t>回顾新增知识与时政资料</t>
  </si>
  <si>
    <t>考前复盘</t>
  </si>
  <si>
    <t>核对正式考试日期并调整本周安排</t>
  </si>
  <si>
    <t>回忆核心原理与易混概念</t>
  </si>
  <si>
    <t>复习时政及新增调整内容</t>
  </si>
  <si>
    <t>分析题提纲回忆与答题规范</t>
  </si>
  <si>
    <t>只看错题和要点，保持休息与稳定节奏</t>
  </si>
  <si>
    <t>☑</t>
  </si>
  <si>
    <t>2026.10.8</t>
    <phoneticPr fontId="9" type="noConversion"/>
  </si>
  <si>
    <t>周守昌电路原理</t>
    <phoneticPr fontId="9" type="noConversion"/>
  </si>
  <si>
    <r>
      <rPr>
        <sz val="10"/>
        <color rgb="FF62748A"/>
        <rFont val="微软雅黑"/>
        <family val="2"/>
        <charset val="134"/>
      </rPr>
      <t>周守昌第</t>
    </r>
    <r>
      <rPr>
        <sz val="10"/>
        <color rgb="FF62748A"/>
        <rFont val="Arial"/>
        <family val="2"/>
      </rPr>
      <t>2</t>
    </r>
    <r>
      <rPr>
        <sz val="10"/>
        <color rgb="FF62748A"/>
        <rFont val="微软雅黑"/>
        <family val="2"/>
        <charset val="134"/>
      </rPr>
      <t>版上下册，共</t>
    </r>
    <r>
      <rPr>
        <sz val="10"/>
        <color rgb="FF62748A"/>
        <rFont val="Arial"/>
        <family val="2"/>
      </rPr>
      <t>28</t>
    </r>
    <r>
      <rPr>
        <sz val="10"/>
        <color rgb="FF62748A"/>
        <rFont val="微软雅黑"/>
        <family val="2"/>
        <charset val="134"/>
      </rPr>
      <t>周。</t>
    </r>
    <phoneticPr fontId="9" type="noConversion"/>
  </si>
  <si>
    <t>分数、负数与四则运算</t>
    <phoneticPr fontId="9" type="noConversion"/>
  </si>
  <si>
    <t>前置基础
代数运算</t>
    <phoneticPr fontId="9" type="noConversion"/>
  </si>
  <si>
    <t>2026.10.21</t>
    <phoneticPr fontId="9" type="noConversion"/>
  </si>
  <si>
    <t>集合、区间、映射与函数</t>
    <phoneticPr fontId="9" type="noConversion"/>
  </si>
  <si>
    <t xml:space="preserve">  </t>
    <phoneticPr fontId="9" type="noConversion"/>
  </si>
  <si>
    <t>2026.10.23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</si>
</sst>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5">
    <font>
      <sz val="11"/>
      <name val="Carlito"/>
    </font>
    <font>
      <sz val="11"/>
      <color rgb="FF243447"/>
      <name val="Noto Sans CJK SC"/>
    </font>
    <font>
      <b/>
      <sz val="17"/>
      <color rgb="FF294D75"/>
      <name val="Noto Sans CJK SC"/>
    </font>
    <font>
      <b/>
      <sz val="11"/>
      <color rgb="FF243447"/>
      <name val="Noto Sans CJK SC"/>
    </font>
    <font>
      <sz val="10"/>
      <color rgb="FF62748A"/>
      <name val="Noto Sans CJK SC"/>
    </font>
    <font>
      <b/>
      <sz val="11"/>
      <color rgb="FFFFFFFF"/>
      <name val="Noto Sans CJK SC"/>
    </font>
    <font>
      <sz val="11"/>
      <color rgb="FF637B99"/>
      <name val="Noto Sans CJK SC"/>
    </font>
    <font>
      <b/>
      <sz val="11"/>
      <color rgb="FF294D75"/>
      <name val="Noto Sans CJK SC"/>
    </font>
    <font>
      <sz val="11"/>
      <name val="Carlito"/>
    </font>
    <font>
      <sz val="9"/>
      <name val="宋体"/>
      <family val="3"/>
      <charset val="134"/>
    </font>
    <font>
      <b/>
      <sz val="17"/>
      <color rgb="FF294D75"/>
      <name val="微软雅黑"/>
      <family val="2"/>
      <charset val="134"/>
    </font>
    <font>
      <sz val="10"/>
      <color rgb="FF62748A"/>
      <name val="微软雅黑"/>
      <family val="2"/>
      <charset val="134"/>
    </font>
    <font>
      <sz val="10"/>
      <color rgb="FF62748A"/>
      <name val="Arial"/>
      <family val="2"/>
    </font>
    <font>
      <sz val="10"/>
      <color rgb="FF62748A"/>
      <name val="Noto Sans CJK SC"/>
      <family val="2"/>
      <charset val="134"/>
    </font>
    <font>
      <sz val="11"/>
      <color rgb="FF243447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rgb="FFEAF0F7"/>
      </patternFill>
    </fill>
    <fill>
      <patternFill patternType="solid">
        <fgColor rgb="FF294D75"/>
      </patternFill>
    </fill>
    <fill>
      <patternFill patternType="solid">
        <fgColor rgb="FFFFF7DC"/>
      </patternFill>
    </fill>
    <fill>
      <patternFill patternType="solid">
        <fgColor rgb="FFF2F5FA"/>
      </patternFill>
    </fill>
    <fill>
      <patternFill patternType="solid">
        <fgColor rgb="FFEAF0F7"/>
      </patternFill>
    </fill>
    <fill>
      <patternFill patternType="solid">
        <fgColor rgb="FF294D75"/>
      </patternFill>
    </fill>
    <fill>
      <patternFill patternType="solid">
        <fgColor rgb="FFFFF7DD"/>
      </patternFill>
    </fill>
    <fill>
      <patternFill patternType="solid">
        <fgColor rgb="FFEAF0F7"/>
      </patternFill>
    </fill>
    <fill>
      <patternFill patternType="solid">
        <fgColor rgb="FF294D75"/>
      </patternFill>
    </fill>
    <fill>
      <patternFill patternType="solid">
        <fgColor rgb="FFFFF7DD"/>
      </patternFill>
    </fill>
  </fills>
  <borders count="2">
    <border>
      <left/>
      <right/>
      <top/>
      <bottom/>
      <diagonal/>
    </border>
    <border>
      <left/>
      <right/>
      <top style="thin">
        <color rgb="FFB7C7D9"/>
      </top>
      <bottom/>
      <diagonal/>
    </border>
  </borders>
  <cellStyleXfs count="2">
    <xf numFmtId="0" fontId="0" fillId="0" borderId="0"/>
    <xf numFmtId="0" fontId="8" fillId="0" borderId="0"/>
  </cellStyleXfs>
  <cellXfs count="49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1" fillId="2" borderId="0" xfId="1" applyFont="1" applyFill="1" applyAlignment="1">
      <alignment vertical="center"/>
    </xf>
    <xf numFmtId="0" fontId="3" fillId="2" borderId="0" xfId="1" applyFont="1" applyFill="1" applyAlignment="1">
      <alignment vertical="center"/>
    </xf>
    <xf numFmtId="9" fontId="3" fillId="2" borderId="0" xfId="1" applyNumberFormat="1" applyFont="1" applyFill="1" applyAlignment="1">
      <alignment vertical="center"/>
    </xf>
    <xf numFmtId="0" fontId="5" fillId="3" borderId="0" xfId="1" applyFont="1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vertical="center" wrapText="1"/>
    </xf>
    <xf numFmtId="176" fontId="1" fillId="0" borderId="0" xfId="1" applyNumberFormat="1" applyFont="1" applyAlignment="1">
      <alignment horizontal="center" vertical="center"/>
    </xf>
    <xf numFmtId="0" fontId="1" fillId="4" borderId="0" xfId="1" applyFont="1" applyFill="1" applyAlignment="1">
      <alignment horizontal="center" vertical="center"/>
    </xf>
    <xf numFmtId="176" fontId="1" fillId="4" borderId="0" xfId="1" applyNumberFormat="1" applyFont="1" applyFill="1" applyAlignment="1">
      <alignment horizontal="center" vertical="center"/>
    </xf>
    <xf numFmtId="0" fontId="1" fillId="4" borderId="0" xfId="1" applyFont="1" applyFill="1" applyAlignment="1">
      <alignment vertical="center" wrapText="1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vertical="center" wrapText="1"/>
    </xf>
    <xf numFmtId="0" fontId="1" fillId="4" borderId="1" xfId="1" applyFont="1" applyFill="1" applyBorder="1" applyAlignment="1">
      <alignment horizontal="center" vertical="center"/>
    </xf>
    <xf numFmtId="176" fontId="1" fillId="4" borderId="1" xfId="1" applyNumberFormat="1" applyFont="1" applyFill="1" applyBorder="1" applyAlignment="1">
      <alignment horizontal="center" vertical="center"/>
    </xf>
    <xf numFmtId="0" fontId="1" fillId="4" borderId="1" xfId="1" applyFont="1" applyFill="1" applyBorder="1" applyAlignment="1">
      <alignment vertical="center" wrapText="1"/>
    </xf>
    <xf numFmtId="0" fontId="1" fillId="5" borderId="1" xfId="1" applyFont="1" applyFill="1" applyBorder="1" applyAlignment="1">
      <alignment horizontal="center" vertical="center"/>
    </xf>
    <xf numFmtId="0" fontId="1" fillId="5" borderId="1" xfId="1" applyFont="1" applyFill="1" applyBorder="1" applyAlignment="1">
      <alignment vertical="center" wrapText="1"/>
    </xf>
    <xf numFmtId="0" fontId="1" fillId="5" borderId="0" xfId="1" applyFont="1" applyFill="1" applyAlignment="1">
      <alignment horizontal="center" vertical="center"/>
    </xf>
    <xf numFmtId="0" fontId="1" fillId="5" borderId="0" xfId="1" applyFont="1" applyFill="1" applyAlignment="1">
      <alignment vertical="center" wrapText="1"/>
    </xf>
    <xf numFmtId="9" fontId="1" fillId="0" borderId="0" xfId="1" applyNumberFormat="1" applyFont="1" applyAlignment="1">
      <alignment horizontal="center" vertical="center"/>
    </xf>
    <xf numFmtId="0" fontId="1" fillId="6" borderId="0" xfId="1" applyFont="1" applyFill="1" applyAlignment="1">
      <alignment vertical="center"/>
    </xf>
    <xf numFmtId="9" fontId="1" fillId="6" borderId="0" xfId="1" applyNumberFormat="1" applyFont="1" applyFill="1" applyAlignment="1">
      <alignment vertical="center"/>
    </xf>
    <xf numFmtId="0" fontId="6" fillId="0" borderId="0" xfId="1" applyFont="1" applyAlignment="1">
      <alignment vertical="center"/>
    </xf>
    <xf numFmtId="0" fontId="5" fillId="7" borderId="0" xfId="1" applyFont="1" applyFill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0" fontId="1" fillId="8" borderId="0" xfId="1" applyFont="1" applyFill="1" applyAlignment="1">
      <alignment horizontal="center" vertical="center"/>
    </xf>
    <xf numFmtId="0" fontId="1" fillId="8" borderId="0" xfId="1" applyFont="1" applyFill="1" applyAlignment="1">
      <alignment vertical="center" wrapText="1"/>
    </xf>
    <xf numFmtId="176" fontId="1" fillId="8" borderId="0" xfId="1" applyNumberFormat="1" applyFont="1" applyFill="1" applyAlignment="1">
      <alignment horizontal="center" vertical="center"/>
    </xf>
    <xf numFmtId="0" fontId="5" fillId="7" borderId="0" xfId="1" applyFont="1" applyFill="1" applyAlignment="1">
      <alignment horizontal="center" vertical="center"/>
    </xf>
    <xf numFmtId="0" fontId="1" fillId="9" borderId="0" xfId="1" applyFont="1" applyFill="1" applyAlignment="1">
      <alignment vertical="center"/>
    </xf>
    <xf numFmtId="9" fontId="1" fillId="9" borderId="0" xfId="1" applyNumberFormat="1" applyFont="1" applyFill="1" applyAlignment="1">
      <alignment vertical="center"/>
    </xf>
    <xf numFmtId="0" fontId="5" fillId="10" borderId="0" xfId="1" applyFont="1" applyFill="1" applyAlignment="1">
      <alignment horizontal="center" vertical="center" wrapText="1"/>
    </xf>
    <xf numFmtId="0" fontId="1" fillId="11" borderId="0" xfId="1" applyFont="1" applyFill="1" applyAlignment="1">
      <alignment horizontal="center" vertical="center"/>
    </xf>
    <xf numFmtId="176" fontId="1" fillId="11" borderId="0" xfId="1" applyNumberFormat="1" applyFont="1" applyFill="1" applyAlignment="1">
      <alignment horizontal="center" vertical="center"/>
    </xf>
    <xf numFmtId="0" fontId="1" fillId="11" borderId="0" xfId="1" applyFont="1" applyFill="1" applyAlignment="1">
      <alignment vertical="center" wrapText="1"/>
    </xf>
    <xf numFmtId="0" fontId="5" fillId="10" borderId="0" xfId="1" applyFont="1" applyFill="1" applyAlignment="1">
      <alignment horizontal="center" vertical="center"/>
    </xf>
    <xf numFmtId="0" fontId="1" fillId="0" borderId="0" xfId="1" applyFont="1" applyAlignment="1">
      <alignment vertical="center" wrapText="1"/>
    </xf>
    <xf numFmtId="0" fontId="1" fillId="0" borderId="0" xfId="1" applyFont="1" applyAlignment="1">
      <alignment vertical="center"/>
    </xf>
    <xf numFmtId="0" fontId="10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3" fillId="0" borderId="0" xfId="1" applyFont="1" applyAlignment="1">
      <alignment vertical="center"/>
    </xf>
    <xf numFmtId="0" fontId="1" fillId="0" borderId="0" xfId="1" applyFont="1" applyAlignment="1">
      <alignment vertical="top" wrapText="1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center"/>
    </xf>
    <xf numFmtId="0" fontId="14" fillId="0" borderId="0" xfId="1" applyFont="1" applyAlignment="1">
      <alignment vertical="center" wrapText="1"/>
    </xf>
    <xf numFmtId="0" fontId="14" fillId="0" borderId="0" xfId="1" applyFont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5">
    <dxf>
      <font>
        <color rgb="FF375623"/>
      </font>
      <fill>
        <patternFill patternType="solid">
          <bgColor rgb="FFE2EFDA"/>
        </patternFill>
      </fill>
    </dxf>
    <dxf>
      <font>
        <color rgb="FF375623"/>
      </font>
      <fill>
        <patternFill patternType="solid">
          <bgColor rgb="FFE2EFDA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23633B"/>
      </font>
      <fill>
        <patternFill>
          <bgColor rgb="FFE4F2E9"/>
        </patternFill>
      </fill>
    </dxf>
    <dxf>
      <font>
        <color rgb="FF23633B"/>
      </font>
      <fill>
        <patternFill>
          <bgColor rgb="FFE4F2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533400</xdr:colOff>
      <xdr:row>26</xdr:row>
      <xdr:rowOff>247650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CA7C264E-0EDA-C20C-CA98-2FD2158FF8A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533400</xdr:colOff>
      <xdr:row>26</xdr:row>
      <xdr:rowOff>247650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E23CDDCD-4759-1E6B-FF95-5210FCA28FD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ircuitTasks" displayName="CircuitTasks" ref="A8:G148" totalsRowShown="0">
  <autoFilter ref="A8:G148" xr:uid="{00000000-0009-0000-0100-000001000000}"/>
  <tableColumns count="7">
    <tableColumn id="1" xr3:uid="{00000000-0010-0000-0000-000001000000}" name="周次"/>
    <tableColumn id="2" xr3:uid="{00000000-0010-0000-0000-000002000000}" name="教材章节"/>
    <tableColumn id="3" xr3:uid="{00000000-0010-0000-0000-000003000000}" name="任务"/>
    <tableColumn id="4" xr3:uid="{00000000-0010-0000-0000-000004000000}" name="学习内容 / 对应小节"/>
    <tableColumn id="5" xr3:uid="{00000000-0010-0000-0000-000005000000}" name="完成"/>
    <tableColumn id="6" xr3:uid="{00000000-0010-0000-0000-000006000000}" name="完成日期"/>
    <tableColumn id="7" xr3:uid="{00000000-0010-0000-0000-000007000000}" name="笔记 / 待解决问题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igherMathTasks" displayName="HigherMathTasks" ref="A8:G188" totalsRowShown="0">
  <autoFilter ref="A8:G188" xr:uid="{00000000-0009-0000-0100-000002000000}"/>
  <tableColumns count="7">
    <tableColumn id="1" xr3:uid="{00000000-0010-0000-0100-000001000000}" name="周次"/>
    <tableColumn id="2" xr3:uid="{00000000-0010-0000-0100-000002000000}" name="教材章节"/>
    <tableColumn id="3" xr3:uid="{00000000-0010-0000-0100-000003000000}" name="任务"/>
    <tableColumn id="4" xr3:uid="{00000000-0010-0000-0100-000004000000}" name="学习内容 / 知识点"/>
    <tableColumn id="5" xr3:uid="{00000000-0010-0000-0100-000005000000}" name="完成"/>
    <tableColumn id="6" xr3:uid="{00000000-0010-0000-0100-000006000000}" name="完成日期"/>
    <tableColumn id="7" xr3:uid="{00000000-0010-0000-0100-000007000000}" name="笔记 / 待解决问题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nglishOneTasks" displayName="EnglishOneTasks" ref="A8:I318" totalsRowShown="0">
  <autoFilter ref="A8:I318" xr:uid="{00000000-0009-0000-0100-000003000000}"/>
  <tableColumns count="9">
    <tableColumn id="1" xr3:uid="{00000000-0010-0000-0200-000001000000}" name="周次"/>
    <tableColumn id="2" xr3:uid="{00000000-0010-0000-0200-000002000000}" name="周开始"/>
    <tableColumn id="3" xr3:uid="{00000000-0010-0000-0200-000003000000}" name="周结束"/>
    <tableColumn id="4" xr3:uid="{00000000-0010-0000-0200-000004000000}" name="阶段 / 模块"/>
    <tableColumn id="5" xr3:uid="{00000000-0010-0000-0200-000005000000}" name="任务"/>
    <tableColumn id="6" xr3:uid="{00000000-0010-0000-0200-000006000000}" name="学习内容 / 要求"/>
    <tableColumn id="7" xr3:uid="{00000000-0010-0000-0200-000007000000}" name="完成"/>
    <tableColumn id="8" xr3:uid="{00000000-0010-0000-0200-000008000000}" name="完成日期"/>
    <tableColumn id="9" xr3:uid="{00000000-0010-0000-0200-000009000000}" name="笔记 / 待解决问题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oliticsTasks" displayName="PoliticsTasks" ref="A8:I148" totalsRowShown="0">
  <autoFilter ref="A8:I148" xr:uid="{00000000-0009-0000-0100-000004000000}"/>
  <tableColumns count="9">
    <tableColumn id="1" xr3:uid="{00000000-0010-0000-0300-000001000000}" name="周次"/>
    <tableColumn id="2" xr3:uid="{00000000-0010-0000-0300-000002000000}" name="周开始"/>
    <tableColumn id="3" xr3:uid="{00000000-0010-0000-0300-000003000000}" name="周结束"/>
    <tableColumn id="4" xr3:uid="{00000000-0010-0000-0300-000004000000}" name="阶段 / 模块"/>
    <tableColumn id="5" xr3:uid="{00000000-0010-0000-0300-000005000000}" name="任务"/>
    <tableColumn id="6" xr3:uid="{00000000-0010-0000-0300-000006000000}" name="学习内容 / 要求"/>
    <tableColumn id="7" xr3:uid="{00000000-0010-0000-0300-000007000000}" name="完成"/>
    <tableColumn id="8" xr3:uid="{00000000-0010-0000-0300-000008000000}" name="完成日期"/>
    <tableColumn id="9" xr3:uid="{00000000-0010-0000-0300-000009000000}" name="笔记 / 待解决问题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94D75"/>
  </sheetPr>
  <dimension ref="A1:K148"/>
  <sheetViews>
    <sheetView showGridLines="0" zoomScaleNormal="100" workbookViewId="0">
      <pane ySplit="8" topLeftCell="A137" activePane="bottomLeft" state="frozen"/>
      <selection pane="bottomLeft" activeCell="G139" sqref="G139"/>
    </sheetView>
  </sheetViews>
  <sheetFormatPr defaultRowHeight="14.25"/>
  <cols>
    <col min="1" max="1" width="9" customWidth="1"/>
    <col min="2" max="2" width="18" customWidth="1"/>
    <col min="3" max="3" width="8" customWidth="1"/>
    <col min="4" max="4" width="57" customWidth="1"/>
    <col min="5" max="5" width="11" customWidth="1"/>
    <col min="6" max="6" width="15" customWidth="1"/>
    <col min="7" max="7" width="30" customWidth="1"/>
    <col min="8" max="8" width="3" customWidth="1"/>
    <col min="9" max="9" width="9" customWidth="1"/>
    <col min="10" max="10" width="10" customWidth="1"/>
    <col min="11" max="11" width="13" customWidth="1"/>
  </cols>
  <sheetData>
    <row r="1" spans="1:11" ht="27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5.1" customHeight="1">
      <c r="A2" s="41" t="s">
        <v>665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spans="1:11" ht="27.9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7.95" customHeight="1">
      <c r="A4" s="3" t="s">
        <v>0</v>
      </c>
      <c r="B4" s="4">
        <v>140</v>
      </c>
      <c r="C4" s="3" t="s">
        <v>1</v>
      </c>
      <c r="D4" s="4">
        <f>COUNTIFS($E$9:$E$148,"☑")</f>
        <v>7</v>
      </c>
      <c r="E4" s="3" t="s">
        <v>2</v>
      </c>
      <c r="F4" s="5">
        <f>D4/B4</f>
        <v>0.05</v>
      </c>
      <c r="G4" s="1"/>
      <c r="H4" s="1"/>
      <c r="I4" s="1"/>
      <c r="J4" s="1"/>
      <c r="K4" s="1"/>
    </row>
    <row r="5" spans="1:11" ht="27.95" customHeight="1">
      <c r="A5" s="42" t="s">
        <v>3</v>
      </c>
      <c r="B5" s="42"/>
      <c r="C5" s="42"/>
      <c r="D5" s="42"/>
      <c r="E5" s="42"/>
      <c r="F5" s="42"/>
      <c r="G5" s="42"/>
      <c r="H5" s="42"/>
      <c r="I5" s="42"/>
      <c r="J5" s="42"/>
      <c r="K5" s="42"/>
    </row>
    <row r="6" spans="1:11" ht="27.95" customHeight="1">
      <c r="A6" s="43" t="s">
        <v>666</v>
      </c>
      <c r="B6" s="42"/>
      <c r="C6" s="42"/>
      <c r="D6" s="42"/>
      <c r="E6" s="42"/>
      <c r="F6" s="42"/>
      <c r="G6" s="42"/>
      <c r="H6" s="42"/>
      <c r="I6" s="42"/>
      <c r="J6" s="42"/>
      <c r="K6" s="42"/>
    </row>
    <row r="7" spans="1:11" ht="27.9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30" customHeight="1">
      <c r="A8" s="6" t="s">
        <v>4</v>
      </c>
      <c r="B8" s="6" t="s">
        <v>5</v>
      </c>
      <c r="C8" s="6" t="s">
        <v>6</v>
      </c>
      <c r="D8" s="6" t="s">
        <v>7</v>
      </c>
      <c r="E8" s="6" t="s">
        <v>8</v>
      </c>
      <c r="F8" s="6" t="s">
        <v>9</v>
      </c>
      <c r="G8" s="6" t="s">
        <v>10</v>
      </c>
      <c r="H8" s="1"/>
      <c r="I8" s="6" t="s">
        <v>4</v>
      </c>
      <c r="J8" s="6" t="s">
        <v>1</v>
      </c>
      <c r="K8" s="6" t="s">
        <v>11</v>
      </c>
    </row>
    <row r="9" spans="1:11" ht="27.95" customHeight="1">
      <c r="A9" s="13">
        <v>1</v>
      </c>
      <c r="B9" s="13" t="s">
        <v>12</v>
      </c>
      <c r="C9" s="13">
        <v>1</v>
      </c>
      <c r="D9" s="14" t="s">
        <v>13</v>
      </c>
      <c r="E9" s="15" t="s">
        <v>663</v>
      </c>
      <c r="F9" s="16" t="s">
        <v>664</v>
      </c>
      <c r="G9" s="17"/>
      <c r="H9" s="1"/>
      <c r="I9" s="7">
        <v>1</v>
      </c>
      <c r="J9" s="7">
        <f t="shared" ref="J9:J36" si="0">COUNTIFS($A$9:$A$148,I9,$E$9:$E$148,"☑")</f>
        <v>5</v>
      </c>
      <c r="K9" s="22">
        <f t="shared" ref="K9:K36" si="1">J9/COUNTIFS($A$9:$A$148,I9)</f>
        <v>1</v>
      </c>
    </row>
    <row r="10" spans="1:11" ht="27.95" customHeight="1">
      <c r="A10" s="7">
        <v>1</v>
      </c>
      <c r="B10" s="7" t="s">
        <v>12</v>
      </c>
      <c r="C10" s="7">
        <v>2</v>
      </c>
      <c r="D10" s="8" t="s">
        <v>15</v>
      </c>
      <c r="E10" s="15" t="s">
        <v>663</v>
      </c>
      <c r="F10" s="16" t="s">
        <v>664</v>
      </c>
      <c r="G10" s="12"/>
      <c r="H10" s="1"/>
      <c r="I10" s="7">
        <v>2</v>
      </c>
      <c r="J10" s="7">
        <f t="shared" si="0"/>
        <v>2</v>
      </c>
      <c r="K10" s="22">
        <f t="shared" si="1"/>
        <v>0.4</v>
      </c>
    </row>
    <row r="11" spans="1:11" ht="27.95" customHeight="1">
      <c r="A11" s="7">
        <v>1</v>
      </c>
      <c r="B11" s="7" t="s">
        <v>12</v>
      </c>
      <c r="C11" s="7">
        <v>3</v>
      </c>
      <c r="D11" s="8" t="s">
        <v>16</v>
      </c>
      <c r="E11" s="15" t="s">
        <v>663</v>
      </c>
      <c r="F11" s="16" t="s">
        <v>664</v>
      </c>
      <c r="G11" s="12"/>
      <c r="H11" s="1"/>
      <c r="I11" s="7">
        <v>3</v>
      </c>
      <c r="J11" s="7">
        <f t="shared" si="0"/>
        <v>0</v>
      </c>
      <c r="K11" s="22">
        <f t="shared" si="1"/>
        <v>0</v>
      </c>
    </row>
    <row r="12" spans="1:11" ht="27.95" customHeight="1">
      <c r="A12" s="7">
        <v>1</v>
      </c>
      <c r="B12" s="7" t="s">
        <v>12</v>
      </c>
      <c r="C12" s="7">
        <v>4</v>
      </c>
      <c r="D12" s="8" t="s">
        <v>671</v>
      </c>
      <c r="E12" s="15" t="s">
        <v>663</v>
      </c>
      <c r="F12" s="16" t="s">
        <v>664</v>
      </c>
      <c r="G12" s="12"/>
      <c r="H12" s="1"/>
      <c r="I12" s="7">
        <v>4</v>
      </c>
      <c r="J12" s="7">
        <f t="shared" si="0"/>
        <v>0</v>
      </c>
      <c r="K12" s="22">
        <f t="shared" si="1"/>
        <v>0</v>
      </c>
    </row>
    <row r="13" spans="1:11" ht="27.95" customHeight="1">
      <c r="A13" s="7">
        <v>1</v>
      </c>
      <c r="B13" s="7" t="s">
        <v>12</v>
      </c>
      <c r="C13" s="7">
        <v>5</v>
      </c>
      <c r="D13" s="8" t="s">
        <v>17</v>
      </c>
      <c r="E13" s="15" t="s">
        <v>663</v>
      </c>
      <c r="F13" s="11" t="s">
        <v>672</v>
      </c>
      <c r="G13" s="12"/>
      <c r="H13" s="1"/>
      <c r="I13" s="7">
        <v>5</v>
      </c>
      <c r="J13" s="7">
        <f t="shared" si="0"/>
        <v>0</v>
      </c>
      <c r="K13" s="22">
        <f t="shared" si="1"/>
        <v>0</v>
      </c>
    </row>
    <row r="14" spans="1:11" ht="27.95" customHeight="1">
      <c r="A14" s="18">
        <v>2</v>
      </c>
      <c r="B14" s="18" t="s">
        <v>12</v>
      </c>
      <c r="C14" s="18">
        <v>1</v>
      </c>
      <c r="D14" s="19" t="s">
        <v>18</v>
      </c>
      <c r="E14" s="15" t="s">
        <v>663</v>
      </c>
      <c r="F14" s="11" t="s">
        <v>672</v>
      </c>
      <c r="G14" s="17"/>
      <c r="H14" s="1"/>
      <c r="I14" s="7">
        <v>6</v>
      </c>
      <c r="J14" s="7">
        <f t="shared" si="0"/>
        <v>0</v>
      </c>
      <c r="K14" s="22">
        <f t="shared" si="1"/>
        <v>0</v>
      </c>
    </row>
    <row r="15" spans="1:11" ht="27.95" customHeight="1">
      <c r="A15" s="20">
        <v>2</v>
      </c>
      <c r="B15" s="20" t="s">
        <v>12</v>
      </c>
      <c r="C15" s="20">
        <v>2</v>
      </c>
      <c r="D15" s="21" t="s">
        <v>19</v>
      </c>
      <c r="E15" s="15" t="s">
        <v>663</v>
      </c>
      <c r="F15" s="11" t="s">
        <v>672</v>
      </c>
      <c r="G15" s="12"/>
      <c r="H15" s="1"/>
      <c r="I15" s="7">
        <v>7</v>
      </c>
      <c r="J15" s="7">
        <f t="shared" si="0"/>
        <v>0</v>
      </c>
      <c r="K15" s="22">
        <f t="shared" si="1"/>
        <v>0</v>
      </c>
    </row>
    <row r="16" spans="1:11" ht="27.95" customHeight="1">
      <c r="A16" s="20">
        <v>2</v>
      </c>
      <c r="B16" s="20" t="s">
        <v>12</v>
      </c>
      <c r="C16" s="20">
        <v>3</v>
      </c>
      <c r="D16" s="21" t="s">
        <v>20</v>
      </c>
      <c r="E16" s="10" t="s">
        <v>14</v>
      </c>
      <c r="F16" s="11"/>
      <c r="G16" s="12"/>
      <c r="H16" s="1"/>
      <c r="I16" s="7">
        <v>8</v>
      </c>
      <c r="J16" s="7">
        <f t="shared" si="0"/>
        <v>0</v>
      </c>
      <c r="K16" s="22">
        <f t="shared" si="1"/>
        <v>0</v>
      </c>
    </row>
    <row r="17" spans="1:11" ht="27.95" customHeight="1">
      <c r="A17" s="20">
        <v>2</v>
      </c>
      <c r="B17" s="20" t="s">
        <v>12</v>
      </c>
      <c r="C17" s="20">
        <v>4</v>
      </c>
      <c r="D17" s="21" t="s">
        <v>21</v>
      </c>
      <c r="E17" s="10" t="s">
        <v>14</v>
      </c>
      <c r="F17" s="11"/>
      <c r="G17" s="12"/>
      <c r="H17" s="1"/>
      <c r="I17" s="7">
        <v>9</v>
      </c>
      <c r="J17" s="7">
        <f t="shared" si="0"/>
        <v>0</v>
      </c>
      <c r="K17" s="22">
        <f t="shared" si="1"/>
        <v>0</v>
      </c>
    </row>
    <row r="18" spans="1:11" ht="27.95" customHeight="1">
      <c r="A18" s="20">
        <v>2</v>
      </c>
      <c r="B18" s="20" t="s">
        <v>12</v>
      </c>
      <c r="C18" s="20">
        <v>5</v>
      </c>
      <c r="D18" s="21" t="s">
        <v>22</v>
      </c>
      <c r="E18" s="10" t="s">
        <v>14</v>
      </c>
      <c r="F18" s="11"/>
      <c r="G18" s="12"/>
      <c r="H18" s="1"/>
      <c r="I18" s="7">
        <v>10</v>
      </c>
      <c r="J18" s="7">
        <f t="shared" si="0"/>
        <v>0</v>
      </c>
      <c r="K18" s="22">
        <f t="shared" si="1"/>
        <v>0</v>
      </c>
    </row>
    <row r="19" spans="1:11" ht="27.95" customHeight="1">
      <c r="A19" s="13">
        <v>3</v>
      </c>
      <c r="B19" s="13" t="s">
        <v>23</v>
      </c>
      <c r="C19" s="13">
        <v>1</v>
      </c>
      <c r="D19" s="14" t="s">
        <v>24</v>
      </c>
      <c r="E19" s="15" t="s">
        <v>14</v>
      </c>
      <c r="F19" s="16"/>
      <c r="G19" s="17"/>
      <c r="H19" s="1"/>
      <c r="I19" s="7">
        <v>11</v>
      </c>
      <c r="J19" s="7">
        <f t="shared" si="0"/>
        <v>0</v>
      </c>
      <c r="K19" s="22">
        <f t="shared" si="1"/>
        <v>0</v>
      </c>
    </row>
    <row r="20" spans="1:11" ht="27.95" customHeight="1">
      <c r="A20" s="7">
        <v>3</v>
      </c>
      <c r="B20" s="7" t="s">
        <v>23</v>
      </c>
      <c r="C20" s="7">
        <v>2</v>
      </c>
      <c r="D20" s="8" t="s">
        <v>25</v>
      </c>
      <c r="E20" s="10" t="s">
        <v>14</v>
      </c>
      <c r="F20" s="11"/>
      <c r="G20" s="12"/>
      <c r="H20" s="1"/>
      <c r="I20" s="7">
        <v>12</v>
      </c>
      <c r="J20" s="7">
        <f t="shared" si="0"/>
        <v>0</v>
      </c>
      <c r="K20" s="22">
        <f t="shared" si="1"/>
        <v>0</v>
      </c>
    </row>
    <row r="21" spans="1:11" ht="27.95" customHeight="1">
      <c r="A21" s="7">
        <v>3</v>
      </c>
      <c r="B21" s="7" t="s">
        <v>23</v>
      </c>
      <c r="C21" s="7">
        <v>3</v>
      </c>
      <c r="D21" s="8" t="s">
        <v>26</v>
      </c>
      <c r="E21" s="10" t="s">
        <v>14</v>
      </c>
      <c r="F21" s="11"/>
      <c r="G21" s="12"/>
      <c r="H21" s="1"/>
      <c r="I21" s="7">
        <v>13</v>
      </c>
      <c r="J21" s="7">
        <f t="shared" si="0"/>
        <v>0</v>
      </c>
      <c r="K21" s="22">
        <f t="shared" si="1"/>
        <v>0</v>
      </c>
    </row>
    <row r="22" spans="1:11" ht="27.95" customHeight="1">
      <c r="A22" s="7">
        <v>3</v>
      </c>
      <c r="B22" s="7" t="s">
        <v>23</v>
      </c>
      <c r="C22" s="7">
        <v>4</v>
      </c>
      <c r="D22" s="8" t="s">
        <v>27</v>
      </c>
      <c r="E22" s="10" t="s">
        <v>14</v>
      </c>
      <c r="F22" s="11"/>
      <c r="G22" s="12"/>
      <c r="H22" s="1"/>
      <c r="I22" s="7">
        <v>14</v>
      </c>
      <c r="J22" s="7">
        <f t="shared" si="0"/>
        <v>0</v>
      </c>
      <c r="K22" s="22">
        <f t="shared" si="1"/>
        <v>0</v>
      </c>
    </row>
    <row r="23" spans="1:11" ht="27.95" customHeight="1">
      <c r="A23" s="7">
        <v>3</v>
      </c>
      <c r="B23" s="7" t="s">
        <v>23</v>
      </c>
      <c r="C23" s="7">
        <v>5</v>
      </c>
      <c r="D23" s="8" t="s">
        <v>28</v>
      </c>
      <c r="E23" s="10" t="s">
        <v>14</v>
      </c>
      <c r="F23" s="11"/>
      <c r="G23" s="12"/>
      <c r="H23" s="1"/>
      <c r="I23" s="7">
        <v>15</v>
      </c>
      <c r="J23" s="7">
        <f t="shared" si="0"/>
        <v>0</v>
      </c>
      <c r="K23" s="22">
        <f t="shared" si="1"/>
        <v>0</v>
      </c>
    </row>
    <row r="24" spans="1:11" ht="27.95" customHeight="1">
      <c r="A24" s="18">
        <v>4</v>
      </c>
      <c r="B24" s="18" t="s">
        <v>23</v>
      </c>
      <c r="C24" s="18">
        <v>1</v>
      </c>
      <c r="D24" s="19" t="s">
        <v>29</v>
      </c>
      <c r="E24" s="15" t="s">
        <v>14</v>
      </c>
      <c r="F24" s="16"/>
      <c r="G24" s="17"/>
      <c r="H24" s="1"/>
      <c r="I24" s="7">
        <v>16</v>
      </c>
      <c r="J24" s="7">
        <f t="shared" si="0"/>
        <v>0</v>
      </c>
      <c r="K24" s="22">
        <f t="shared" si="1"/>
        <v>0</v>
      </c>
    </row>
    <row r="25" spans="1:11" ht="27.95" customHeight="1">
      <c r="A25" s="20">
        <v>4</v>
      </c>
      <c r="B25" s="20" t="s">
        <v>23</v>
      </c>
      <c r="C25" s="20">
        <v>2</v>
      </c>
      <c r="D25" s="21" t="s">
        <v>30</v>
      </c>
      <c r="E25" s="10" t="s">
        <v>14</v>
      </c>
      <c r="F25" s="11"/>
      <c r="G25" s="12"/>
      <c r="H25" s="1"/>
      <c r="I25" s="7">
        <v>17</v>
      </c>
      <c r="J25" s="7">
        <f t="shared" si="0"/>
        <v>0</v>
      </c>
      <c r="K25" s="22">
        <f t="shared" si="1"/>
        <v>0</v>
      </c>
    </row>
    <row r="26" spans="1:11" ht="27.95" customHeight="1">
      <c r="A26" s="20">
        <v>4</v>
      </c>
      <c r="B26" s="20" t="s">
        <v>23</v>
      </c>
      <c r="C26" s="20">
        <v>3</v>
      </c>
      <c r="D26" s="21" t="s">
        <v>31</v>
      </c>
      <c r="E26" s="10" t="s">
        <v>14</v>
      </c>
      <c r="F26" s="11"/>
      <c r="G26" s="12"/>
      <c r="H26" s="1"/>
      <c r="I26" s="7">
        <v>18</v>
      </c>
      <c r="J26" s="7">
        <f t="shared" si="0"/>
        <v>0</v>
      </c>
      <c r="K26" s="22">
        <f t="shared" si="1"/>
        <v>0</v>
      </c>
    </row>
    <row r="27" spans="1:11" ht="27.95" customHeight="1">
      <c r="A27" s="20">
        <v>4</v>
      </c>
      <c r="B27" s="20" t="s">
        <v>23</v>
      </c>
      <c r="C27" s="20">
        <v>4</v>
      </c>
      <c r="D27" s="21" t="s">
        <v>32</v>
      </c>
      <c r="E27" s="10" t="s">
        <v>14</v>
      </c>
      <c r="F27" s="11"/>
      <c r="G27" s="12"/>
      <c r="H27" s="1"/>
      <c r="I27" s="7">
        <v>19</v>
      </c>
      <c r="J27" s="7">
        <f t="shared" si="0"/>
        <v>0</v>
      </c>
      <c r="K27" s="22">
        <f t="shared" si="1"/>
        <v>0</v>
      </c>
    </row>
    <row r="28" spans="1:11" ht="27.95" customHeight="1">
      <c r="A28" s="20">
        <v>4</v>
      </c>
      <c r="B28" s="20" t="s">
        <v>23</v>
      </c>
      <c r="C28" s="20">
        <v>5</v>
      </c>
      <c r="D28" s="21" t="s">
        <v>33</v>
      </c>
      <c r="E28" s="10" t="s">
        <v>14</v>
      </c>
      <c r="F28" s="11"/>
      <c r="G28" s="12"/>
      <c r="H28" s="1"/>
      <c r="I28" s="7">
        <v>20</v>
      </c>
      <c r="J28" s="7">
        <f t="shared" si="0"/>
        <v>0</v>
      </c>
      <c r="K28" s="22">
        <f t="shared" si="1"/>
        <v>0</v>
      </c>
    </row>
    <row r="29" spans="1:11" ht="27.95" customHeight="1">
      <c r="A29" s="13">
        <v>5</v>
      </c>
      <c r="B29" s="13" t="s">
        <v>23</v>
      </c>
      <c r="C29" s="13">
        <v>1</v>
      </c>
      <c r="D29" s="14" t="s">
        <v>34</v>
      </c>
      <c r="E29" s="15" t="s">
        <v>14</v>
      </c>
      <c r="F29" s="16"/>
      <c r="G29" s="17"/>
      <c r="H29" s="1"/>
      <c r="I29" s="7">
        <v>21</v>
      </c>
      <c r="J29" s="7">
        <f t="shared" si="0"/>
        <v>0</v>
      </c>
      <c r="K29" s="22">
        <f t="shared" si="1"/>
        <v>0</v>
      </c>
    </row>
    <row r="30" spans="1:11" ht="27.95" customHeight="1">
      <c r="A30" s="7">
        <v>5</v>
      </c>
      <c r="B30" s="7" t="s">
        <v>23</v>
      </c>
      <c r="C30" s="7">
        <v>2</v>
      </c>
      <c r="D30" s="8" t="s">
        <v>35</v>
      </c>
      <c r="E30" s="10" t="s">
        <v>14</v>
      </c>
      <c r="F30" s="11"/>
      <c r="G30" s="12"/>
      <c r="H30" s="1"/>
      <c r="I30" s="7">
        <v>22</v>
      </c>
      <c r="J30" s="7">
        <f t="shared" si="0"/>
        <v>0</v>
      </c>
      <c r="K30" s="22">
        <f t="shared" si="1"/>
        <v>0</v>
      </c>
    </row>
    <row r="31" spans="1:11" ht="27.95" customHeight="1">
      <c r="A31" s="7">
        <v>5</v>
      </c>
      <c r="B31" s="7" t="s">
        <v>23</v>
      </c>
      <c r="C31" s="7">
        <v>3</v>
      </c>
      <c r="D31" s="8" t="s">
        <v>36</v>
      </c>
      <c r="E31" s="10" t="s">
        <v>14</v>
      </c>
      <c r="F31" s="11"/>
      <c r="G31" s="12"/>
      <c r="H31" s="1"/>
      <c r="I31" s="7">
        <v>23</v>
      </c>
      <c r="J31" s="7">
        <f t="shared" si="0"/>
        <v>0</v>
      </c>
      <c r="K31" s="22">
        <f t="shared" si="1"/>
        <v>0</v>
      </c>
    </row>
    <row r="32" spans="1:11" ht="27.95" customHeight="1">
      <c r="A32" s="7">
        <v>5</v>
      </c>
      <c r="B32" s="7" t="s">
        <v>23</v>
      </c>
      <c r="C32" s="7">
        <v>4</v>
      </c>
      <c r="D32" s="8" t="s">
        <v>37</v>
      </c>
      <c r="E32" s="10" t="s">
        <v>14</v>
      </c>
      <c r="F32" s="11"/>
      <c r="G32" s="12"/>
      <c r="H32" s="1"/>
      <c r="I32" s="7">
        <v>24</v>
      </c>
      <c r="J32" s="7">
        <f t="shared" si="0"/>
        <v>0</v>
      </c>
      <c r="K32" s="22">
        <f t="shared" si="1"/>
        <v>0</v>
      </c>
    </row>
    <row r="33" spans="1:11" ht="27.95" customHeight="1">
      <c r="A33" s="7">
        <v>5</v>
      </c>
      <c r="B33" s="7" t="s">
        <v>23</v>
      </c>
      <c r="C33" s="7">
        <v>5</v>
      </c>
      <c r="D33" s="8" t="s">
        <v>38</v>
      </c>
      <c r="E33" s="10" t="s">
        <v>14</v>
      </c>
      <c r="F33" s="11"/>
      <c r="G33" s="12"/>
      <c r="H33" s="1"/>
      <c r="I33" s="7">
        <v>25</v>
      </c>
      <c r="J33" s="7">
        <f t="shared" si="0"/>
        <v>0</v>
      </c>
      <c r="K33" s="22">
        <f t="shared" si="1"/>
        <v>0</v>
      </c>
    </row>
    <row r="34" spans="1:11" ht="27.95" customHeight="1">
      <c r="A34" s="18">
        <v>6</v>
      </c>
      <c r="B34" s="18" t="s">
        <v>39</v>
      </c>
      <c r="C34" s="18">
        <v>1</v>
      </c>
      <c r="D34" s="19" t="s">
        <v>40</v>
      </c>
      <c r="E34" s="15" t="s">
        <v>14</v>
      </c>
      <c r="F34" s="16"/>
      <c r="G34" s="17"/>
      <c r="H34" s="1"/>
      <c r="I34" s="7">
        <v>26</v>
      </c>
      <c r="J34" s="7">
        <f t="shared" si="0"/>
        <v>0</v>
      </c>
      <c r="K34" s="22">
        <f t="shared" si="1"/>
        <v>0</v>
      </c>
    </row>
    <row r="35" spans="1:11" ht="27.95" customHeight="1">
      <c r="A35" s="20">
        <v>6</v>
      </c>
      <c r="B35" s="20" t="s">
        <v>39</v>
      </c>
      <c r="C35" s="20">
        <v>2</v>
      </c>
      <c r="D35" s="21" t="s">
        <v>41</v>
      </c>
      <c r="E35" s="10" t="s">
        <v>14</v>
      </c>
      <c r="F35" s="11"/>
      <c r="G35" s="12"/>
      <c r="H35" s="1"/>
      <c r="I35" s="7">
        <v>27</v>
      </c>
      <c r="J35" s="7">
        <f t="shared" si="0"/>
        <v>0</v>
      </c>
      <c r="K35" s="22">
        <f t="shared" si="1"/>
        <v>0</v>
      </c>
    </row>
    <row r="36" spans="1:11" ht="27.95" customHeight="1">
      <c r="A36" s="20">
        <v>6</v>
      </c>
      <c r="B36" s="20" t="s">
        <v>39</v>
      </c>
      <c r="C36" s="20">
        <v>3</v>
      </c>
      <c r="D36" s="21" t="s">
        <v>42</v>
      </c>
      <c r="E36" s="10" t="s">
        <v>14</v>
      </c>
      <c r="F36" s="11"/>
      <c r="G36" s="12"/>
      <c r="H36" s="1"/>
      <c r="I36" s="7">
        <v>28</v>
      </c>
      <c r="J36" s="7">
        <f t="shared" si="0"/>
        <v>0</v>
      </c>
      <c r="K36" s="22">
        <f t="shared" si="1"/>
        <v>0</v>
      </c>
    </row>
    <row r="37" spans="1:11" ht="42" customHeight="1">
      <c r="A37" s="20">
        <v>6</v>
      </c>
      <c r="B37" s="20" t="s">
        <v>39</v>
      </c>
      <c r="C37" s="20">
        <v>4</v>
      </c>
      <c r="D37" s="21" t="s">
        <v>43</v>
      </c>
      <c r="E37" s="10" t="s">
        <v>14</v>
      </c>
      <c r="F37" s="11"/>
      <c r="G37" s="12"/>
      <c r="H37" s="1"/>
      <c r="I37" s="1"/>
      <c r="J37" s="1"/>
      <c r="K37" s="1"/>
    </row>
    <row r="38" spans="1:11" ht="42" customHeight="1">
      <c r="A38" s="20">
        <v>6</v>
      </c>
      <c r="B38" s="20" t="s">
        <v>39</v>
      </c>
      <c r="C38" s="20">
        <v>5</v>
      </c>
      <c r="D38" s="21" t="s">
        <v>44</v>
      </c>
      <c r="E38" s="10" t="s">
        <v>14</v>
      </c>
      <c r="F38" s="11"/>
      <c r="G38" s="12"/>
      <c r="H38" s="1"/>
      <c r="I38" s="1"/>
      <c r="J38" s="1"/>
      <c r="K38" s="1"/>
    </row>
    <row r="39" spans="1:11" ht="42" customHeight="1">
      <c r="A39" s="13">
        <v>7</v>
      </c>
      <c r="B39" s="13" t="s">
        <v>39</v>
      </c>
      <c r="C39" s="13">
        <v>1</v>
      </c>
      <c r="D39" s="14" t="s">
        <v>45</v>
      </c>
      <c r="E39" s="15" t="s">
        <v>14</v>
      </c>
      <c r="F39" s="16"/>
      <c r="G39" s="17"/>
      <c r="H39" s="1"/>
      <c r="I39" s="40" t="s">
        <v>46</v>
      </c>
      <c r="J39" s="40"/>
      <c r="K39" s="40"/>
    </row>
    <row r="40" spans="1:11" ht="42" customHeight="1">
      <c r="A40" s="7">
        <v>7</v>
      </c>
      <c r="B40" s="7" t="s">
        <v>39</v>
      </c>
      <c r="C40" s="7">
        <v>2</v>
      </c>
      <c r="D40" s="8" t="s">
        <v>47</v>
      </c>
      <c r="E40" s="10" t="s">
        <v>14</v>
      </c>
      <c r="F40" s="11"/>
      <c r="G40" s="12"/>
      <c r="H40" s="1"/>
      <c r="I40" s="39" t="s">
        <v>48</v>
      </c>
      <c r="J40" s="39"/>
      <c r="K40" s="39"/>
    </row>
    <row r="41" spans="1:11" ht="42" customHeight="1">
      <c r="A41" s="7">
        <v>7</v>
      </c>
      <c r="B41" s="7" t="s">
        <v>39</v>
      </c>
      <c r="C41" s="7">
        <v>3</v>
      </c>
      <c r="D41" s="8" t="s">
        <v>49</v>
      </c>
      <c r="E41" s="10" t="s">
        <v>14</v>
      </c>
      <c r="F41" s="11"/>
      <c r="G41" s="12"/>
      <c r="H41" s="1"/>
      <c r="I41" s="39"/>
      <c r="J41" s="39"/>
      <c r="K41" s="39"/>
    </row>
    <row r="42" spans="1:11" ht="42" customHeight="1">
      <c r="A42" s="7">
        <v>7</v>
      </c>
      <c r="B42" s="7" t="s">
        <v>39</v>
      </c>
      <c r="C42" s="7">
        <v>4</v>
      </c>
      <c r="D42" s="8" t="s">
        <v>50</v>
      </c>
      <c r="E42" s="10" t="s">
        <v>14</v>
      </c>
      <c r="F42" s="11"/>
      <c r="G42" s="12"/>
      <c r="H42" s="1"/>
      <c r="I42" s="1"/>
      <c r="J42" s="1"/>
      <c r="K42" s="1"/>
    </row>
    <row r="43" spans="1:11" ht="42" customHeight="1">
      <c r="A43" s="7">
        <v>7</v>
      </c>
      <c r="B43" s="7" t="s">
        <v>39</v>
      </c>
      <c r="C43" s="7">
        <v>5</v>
      </c>
      <c r="D43" s="8" t="s">
        <v>51</v>
      </c>
      <c r="E43" s="10" t="s">
        <v>14</v>
      </c>
      <c r="F43" s="11"/>
      <c r="G43" s="12"/>
      <c r="H43" s="1"/>
      <c r="I43" s="39" t="s">
        <v>52</v>
      </c>
      <c r="J43" s="39"/>
      <c r="K43" s="39"/>
    </row>
    <row r="44" spans="1:11" ht="42" customHeight="1">
      <c r="A44" s="18">
        <v>8</v>
      </c>
      <c r="B44" s="18" t="s">
        <v>53</v>
      </c>
      <c r="C44" s="18">
        <v>1</v>
      </c>
      <c r="D44" s="19" t="s">
        <v>54</v>
      </c>
      <c r="E44" s="15" t="s">
        <v>14</v>
      </c>
      <c r="F44" s="16"/>
      <c r="G44" s="17"/>
      <c r="H44" s="1"/>
      <c r="I44" s="39"/>
      <c r="J44" s="39"/>
      <c r="K44" s="39"/>
    </row>
    <row r="45" spans="1:11" ht="42" customHeight="1">
      <c r="A45" s="20">
        <v>8</v>
      </c>
      <c r="B45" s="20" t="s">
        <v>53</v>
      </c>
      <c r="C45" s="20">
        <v>2</v>
      </c>
      <c r="D45" s="21" t="s">
        <v>55</v>
      </c>
      <c r="E45" s="10" t="s">
        <v>14</v>
      </c>
      <c r="F45" s="11"/>
      <c r="G45" s="12"/>
      <c r="H45" s="1"/>
      <c r="I45" s="1"/>
      <c r="J45" s="1"/>
      <c r="K45" s="1"/>
    </row>
    <row r="46" spans="1:11" ht="42" customHeight="1">
      <c r="A46" s="20">
        <v>8</v>
      </c>
      <c r="B46" s="20" t="s">
        <v>53</v>
      </c>
      <c r="C46" s="20">
        <v>3</v>
      </c>
      <c r="D46" s="21" t="s">
        <v>56</v>
      </c>
      <c r="E46" s="10" t="s">
        <v>14</v>
      </c>
      <c r="F46" s="11"/>
      <c r="G46" s="12"/>
      <c r="H46" s="1"/>
      <c r="I46" s="40" t="s">
        <v>57</v>
      </c>
      <c r="J46" s="40"/>
      <c r="K46" s="40"/>
    </row>
    <row r="47" spans="1:11" ht="42" customHeight="1">
      <c r="A47" s="20">
        <v>8</v>
      </c>
      <c r="B47" s="20" t="s">
        <v>53</v>
      </c>
      <c r="C47" s="20">
        <v>4</v>
      </c>
      <c r="D47" s="21" t="s">
        <v>58</v>
      </c>
      <c r="E47" s="10" t="s">
        <v>14</v>
      </c>
      <c r="F47" s="11"/>
      <c r="G47" s="12"/>
      <c r="H47" s="1"/>
      <c r="I47" s="39" t="s">
        <v>59</v>
      </c>
      <c r="J47" s="39"/>
      <c r="K47" s="39"/>
    </row>
    <row r="48" spans="1:11" ht="42" customHeight="1">
      <c r="A48" s="20">
        <v>8</v>
      </c>
      <c r="B48" s="20" t="s">
        <v>53</v>
      </c>
      <c r="C48" s="20">
        <v>5</v>
      </c>
      <c r="D48" s="21" t="s">
        <v>60</v>
      </c>
      <c r="E48" s="10" t="s">
        <v>14</v>
      </c>
      <c r="F48" s="11"/>
      <c r="G48" s="12"/>
      <c r="H48" s="1"/>
      <c r="I48" s="39"/>
      <c r="J48" s="39"/>
      <c r="K48" s="39"/>
    </row>
    <row r="49" spans="1:11" ht="42" customHeight="1">
      <c r="A49" s="13">
        <v>9</v>
      </c>
      <c r="B49" s="13" t="s">
        <v>53</v>
      </c>
      <c r="C49" s="13">
        <v>1</v>
      </c>
      <c r="D49" s="14" t="s">
        <v>61</v>
      </c>
      <c r="E49" s="15" t="s">
        <v>14</v>
      </c>
      <c r="F49" s="16"/>
      <c r="G49" s="17"/>
      <c r="H49" s="1"/>
      <c r="I49" s="39"/>
      <c r="J49" s="39"/>
      <c r="K49" s="39"/>
    </row>
    <row r="50" spans="1:11" ht="42" customHeight="1">
      <c r="A50" s="7">
        <v>9</v>
      </c>
      <c r="B50" s="7" t="s">
        <v>53</v>
      </c>
      <c r="C50" s="7">
        <v>2</v>
      </c>
      <c r="D50" s="8" t="s">
        <v>62</v>
      </c>
      <c r="E50" s="10" t="s">
        <v>14</v>
      </c>
      <c r="F50" s="11"/>
      <c r="G50" s="12"/>
      <c r="H50" s="1"/>
      <c r="I50" s="1"/>
      <c r="J50" s="1"/>
      <c r="K50" s="1"/>
    </row>
    <row r="51" spans="1:11" ht="42" customHeight="1">
      <c r="A51" s="7">
        <v>9</v>
      </c>
      <c r="B51" s="7" t="s">
        <v>53</v>
      </c>
      <c r="C51" s="7">
        <v>3</v>
      </c>
      <c r="D51" s="8" t="s">
        <v>63</v>
      </c>
      <c r="E51" s="10" t="s">
        <v>14</v>
      </c>
      <c r="F51" s="11"/>
      <c r="G51" s="12"/>
      <c r="H51" s="1"/>
      <c r="I51" s="1"/>
      <c r="J51" s="1"/>
      <c r="K51" s="1"/>
    </row>
    <row r="52" spans="1:11" ht="42" customHeight="1">
      <c r="A52" s="7">
        <v>9</v>
      </c>
      <c r="B52" s="7" t="s">
        <v>53</v>
      </c>
      <c r="C52" s="7">
        <v>4</v>
      </c>
      <c r="D52" s="8" t="s">
        <v>64</v>
      </c>
      <c r="E52" s="10" t="s">
        <v>14</v>
      </c>
      <c r="F52" s="11"/>
      <c r="G52" s="12"/>
      <c r="H52" s="1"/>
      <c r="I52" s="1"/>
      <c r="J52" s="1"/>
      <c r="K52" s="1"/>
    </row>
    <row r="53" spans="1:11" ht="42" customHeight="1">
      <c r="A53" s="7">
        <v>9</v>
      </c>
      <c r="B53" s="7" t="s">
        <v>53</v>
      </c>
      <c r="C53" s="7">
        <v>5</v>
      </c>
      <c r="D53" s="8" t="s">
        <v>65</v>
      </c>
      <c r="E53" s="10" t="s">
        <v>14</v>
      </c>
      <c r="F53" s="11"/>
      <c r="G53" s="12"/>
      <c r="H53" s="1"/>
      <c r="I53" s="1"/>
      <c r="J53" s="1"/>
      <c r="K53" s="1"/>
    </row>
    <row r="54" spans="1:11" ht="42" customHeight="1">
      <c r="A54" s="18">
        <v>10</v>
      </c>
      <c r="B54" s="18" t="s">
        <v>66</v>
      </c>
      <c r="C54" s="18">
        <v>1</v>
      </c>
      <c r="D54" s="19" t="s">
        <v>67</v>
      </c>
      <c r="E54" s="15" t="s">
        <v>14</v>
      </c>
      <c r="F54" s="16"/>
      <c r="G54" s="17"/>
      <c r="H54" s="1"/>
      <c r="I54" s="1"/>
      <c r="J54" s="1"/>
      <c r="K54" s="1"/>
    </row>
    <row r="55" spans="1:11" ht="42" customHeight="1">
      <c r="A55" s="20">
        <v>10</v>
      </c>
      <c r="B55" s="20" t="s">
        <v>66</v>
      </c>
      <c r="C55" s="20">
        <v>2</v>
      </c>
      <c r="D55" s="21" t="s">
        <v>68</v>
      </c>
      <c r="E55" s="10" t="s">
        <v>14</v>
      </c>
      <c r="F55" s="11"/>
      <c r="G55" s="12"/>
      <c r="H55" s="1"/>
      <c r="I55" s="1"/>
      <c r="J55" s="1"/>
      <c r="K55" s="1"/>
    </row>
    <row r="56" spans="1:11" ht="42" customHeight="1">
      <c r="A56" s="20">
        <v>10</v>
      </c>
      <c r="B56" s="20" t="s">
        <v>66</v>
      </c>
      <c r="C56" s="20">
        <v>3</v>
      </c>
      <c r="D56" s="21" t="s">
        <v>69</v>
      </c>
      <c r="E56" s="10" t="s">
        <v>14</v>
      </c>
      <c r="F56" s="11"/>
      <c r="G56" s="12"/>
      <c r="H56" s="1"/>
      <c r="I56" s="1"/>
      <c r="J56" s="1"/>
      <c r="K56" s="1"/>
    </row>
    <row r="57" spans="1:11" ht="42" customHeight="1">
      <c r="A57" s="20">
        <v>10</v>
      </c>
      <c r="B57" s="20" t="s">
        <v>66</v>
      </c>
      <c r="C57" s="20">
        <v>4</v>
      </c>
      <c r="D57" s="21" t="s">
        <v>70</v>
      </c>
      <c r="E57" s="10" t="s">
        <v>14</v>
      </c>
      <c r="F57" s="11"/>
      <c r="G57" s="12"/>
      <c r="H57" s="1"/>
      <c r="I57" s="1"/>
      <c r="J57" s="1"/>
      <c r="K57" s="1"/>
    </row>
    <row r="58" spans="1:11" ht="42" customHeight="1">
      <c r="A58" s="20">
        <v>10</v>
      </c>
      <c r="B58" s="20" t="s">
        <v>66</v>
      </c>
      <c r="C58" s="20">
        <v>5</v>
      </c>
      <c r="D58" s="21" t="s">
        <v>71</v>
      </c>
      <c r="E58" s="10" t="s">
        <v>14</v>
      </c>
      <c r="F58" s="11"/>
      <c r="G58" s="12"/>
      <c r="H58" s="1"/>
      <c r="I58" s="1"/>
      <c r="J58" s="1"/>
      <c r="K58" s="1"/>
    </row>
    <row r="59" spans="1:11" ht="42" customHeight="1">
      <c r="A59" s="13">
        <v>11</v>
      </c>
      <c r="B59" s="13" t="s">
        <v>66</v>
      </c>
      <c r="C59" s="13">
        <v>1</v>
      </c>
      <c r="D59" s="14" t="s">
        <v>72</v>
      </c>
      <c r="E59" s="15" t="s">
        <v>14</v>
      </c>
      <c r="F59" s="16"/>
      <c r="G59" s="17"/>
      <c r="H59" s="1"/>
      <c r="I59" s="1"/>
      <c r="J59" s="1"/>
      <c r="K59" s="1"/>
    </row>
    <row r="60" spans="1:11" ht="42" customHeight="1">
      <c r="A60" s="7">
        <v>11</v>
      </c>
      <c r="B60" s="7" t="s">
        <v>66</v>
      </c>
      <c r="C60" s="7">
        <v>2</v>
      </c>
      <c r="D60" s="8" t="s">
        <v>73</v>
      </c>
      <c r="E60" s="10" t="s">
        <v>14</v>
      </c>
      <c r="F60" s="11"/>
      <c r="G60" s="12"/>
      <c r="H60" s="1"/>
      <c r="I60" s="1"/>
      <c r="J60" s="1"/>
      <c r="K60" s="1"/>
    </row>
    <row r="61" spans="1:11" ht="42" customHeight="1">
      <c r="A61" s="7">
        <v>11</v>
      </c>
      <c r="B61" s="7" t="s">
        <v>66</v>
      </c>
      <c r="C61" s="7">
        <v>3</v>
      </c>
      <c r="D61" s="8" t="s">
        <v>74</v>
      </c>
      <c r="E61" s="10" t="s">
        <v>14</v>
      </c>
      <c r="F61" s="11"/>
      <c r="G61" s="12"/>
      <c r="H61" s="1"/>
      <c r="I61" s="1"/>
      <c r="J61" s="1"/>
      <c r="K61" s="1"/>
    </row>
    <row r="62" spans="1:11" ht="42" customHeight="1">
      <c r="A62" s="7">
        <v>11</v>
      </c>
      <c r="B62" s="7" t="s">
        <v>66</v>
      </c>
      <c r="C62" s="7">
        <v>4</v>
      </c>
      <c r="D62" s="8" t="s">
        <v>75</v>
      </c>
      <c r="E62" s="10" t="s">
        <v>14</v>
      </c>
      <c r="F62" s="11"/>
      <c r="G62" s="12"/>
      <c r="H62" s="1"/>
      <c r="I62" s="1"/>
      <c r="J62" s="1"/>
      <c r="K62" s="1"/>
    </row>
    <row r="63" spans="1:11" ht="42" customHeight="1">
      <c r="A63" s="7">
        <v>11</v>
      </c>
      <c r="B63" s="7" t="s">
        <v>66</v>
      </c>
      <c r="C63" s="7">
        <v>5</v>
      </c>
      <c r="D63" s="8" t="s">
        <v>76</v>
      </c>
      <c r="E63" s="10" t="s">
        <v>14</v>
      </c>
      <c r="F63" s="11"/>
      <c r="G63" s="12"/>
      <c r="H63" s="1"/>
      <c r="I63" s="1"/>
      <c r="J63" s="1"/>
      <c r="K63" s="1"/>
    </row>
    <row r="64" spans="1:11" ht="42" customHeight="1">
      <c r="A64" s="18">
        <v>12</v>
      </c>
      <c r="B64" s="18" t="s">
        <v>77</v>
      </c>
      <c r="C64" s="18">
        <v>1</v>
      </c>
      <c r="D64" s="19" t="s">
        <v>78</v>
      </c>
      <c r="E64" s="15" t="s">
        <v>14</v>
      </c>
      <c r="F64" s="16"/>
      <c r="G64" s="17"/>
      <c r="H64" s="1"/>
      <c r="I64" s="1"/>
      <c r="J64" s="1"/>
      <c r="K64" s="1"/>
    </row>
    <row r="65" spans="1:11" ht="42" customHeight="1">
      <c r="A65" s="20">
        <v>12</v>
      </c>
      <c r="B65" s="20" t="s">
        <v>77</v>
      </c>
      <c r="C65" s="20">
        <v>2</v>
      </c>
      <c r="D65" s="21" t="s">
        <v>79</v>
      </c>
      <c r="E65" s="10" t="s">
        <v>14</v>
      </c>
      <c r="F65" s="11"/>
      <c r="G65" s="12"/>
      <c r="H65" s="1"/>
      <c r="I65" s="1"/>
      <c r="J65" s="1"/>
      <c r="K65" s="1"/>
    </row>
    <row r="66" spans="1:11" ht="42" customHeight="1">
      <c r="A66" s="20">
        <v>12</v>
      </c>
      <c r="B66" s="20" t="s">
        <v>77</v>
      </c>
      <c r="C66" s="20">
        <v>3</v>
      </c>
      <c r="D66" s="21" t="s">
        <v>80</v>
      </c>
      <c r="E66" s="10" t="s">
        <v>14</v>
      </c>
      <c r="F66" s="11"/>
      <c r="G66" s="12"/>
      <c r="H66" s="1"/>
      <c r="I66" s="1"/>
      <c r="J66" s="1"/>
      <c r="K66" s="1"/>
    </row>
    <row r="67" spans="1:11" ht="42" customHeight="1">
      <c r="A67" s="20">
        <v>12</v>
      </c>
      <c r="B67" s="20" t="s">
        <v>77</v>
      </c>
      <c r="C67" s="20">
        <v>4</v>
      </c>
      <c r="D67" s="21" t="s">
        <v>81</v>
      </c>
      <c r="E67" s="10" t="s">
        <v>14</v>
      </c>
      <c r="F67" s="11"/>
      <c r="G67" s="12"/>
      <c r="H67" s="1"/>
      <c r="I67" s="1"/>
      <c r="J67" s="1"/>
      <c r="K67" s="1"/>
    </row>
    <row r="68" spans="1:11" ht="42" customHeight="1">
      <c r="A68" s="20">
        <v>12</v>
      </c>
      <c r="B68" s="20" t="s">
        <v>77</v>
      </c>
      <c r="C68" s="20">
        <v>5</v>
      </c>
      <c r="D68" s="21" t="s">
        <v>82</v>
      </c>
      <c r="E68" s="10" t="s">
        <v>14</v>
      </c>
      <c r="F68" s="11"/>
      <c r="G68" s="12"/>
      <c r="H68" s="1"/>
      <c r="I68" s="1"/>
      <c r="J68" s="1"/>
      <c r="K68" s="1"/>
    </row>
    <row r="69" spans="1:11" ht="42" customHeight="1">
      <c r="A69" s="13">
        <v>13</v>
      </c>
      <c r="B69" s="13" t="s">
        <v>83</v>
      </c>
      <c r="C69" s="13">
        <v>1</v>
      </c>
      <c r="D69" s="14" t="s">
        <v>84</v>
      </c>
      <c r="E69" s="15" t="s">
        <v>14</v>
      </c>
      <c r="F69" s="16"/>
      <c r="G69" s="17"/>
      <c r="H69" s="1"/>
      <c r="I69" s="1"/>
      <c r="J69" s="1"/>
      <c r="K69" s="1"/>
    </row>
    <row r="70" spans="1:11" ht="42" customHeight="1">
      <c r="A70" s="7">
        <v>13</v>
      </c>
      <c r="B70" s="7" t="s">
        <v>83</v>
      </c>
      <c r="C70" s="7">
        <v>2</v>
      </c>
      <c r="D70" s="8" t="s">
        <v>85</v>
      </c>
      <c r="E70" s="10" t="s">
        <v>14</v>
      </c>
      <c r="F70" s="11"/>
      <c r="G70" s="12"/>
      <c r="H70" s="1"/>
      <c r="I70" s="1"/>
      <c r="J70" s="1"/>
      <c r="K70" s="1"/>
    </row>
    <row r="71" spans="1:11" ht="42" customHeight="1">
      <c r="A71" s="7">
        <v>13</v>
      </c>
      <c r="B71" s="7" t="s">
        <v>83</v>
      </c>
      <c r="C71" s="7">
        <v>3</v>
      </c>
      <c r="D71" s="8" t="s">
        <v>86</v>
      </c>
      <c r="E71" s="10" t="s">
        <v>14</v>
      </c>
      <c r="F71" s="11"/>
      <c r="G71" s="12"/>
      <c r="H71" s="1"/>
      <c r="I71" s="1"/>
      <c r="J71" s="1"/>
      <c r="K71" s="1"/>
    </row>
    <row r="72" spans="1:11" ht="42" customHeight="1">
      <c r="A72" s="7">
        <v>13</v>
      </c>
      <c r="B72" s="7" t="s">
        <v>83</v>
      </c>
      <c r="C72" s="7">
        <v>4</v>
      </c>
      <c r="D72" s="8" t="s">
        <v>87</v>
      </c>
      <c r="E72" s="10" t="s">
        <v>14</v>
      </c>
      <c r="F72" s="11"/>
      <c r="G72" s="12"/>
      <c r="H72" s="1"/>
      <c r="I72" s="1"/>
      <c r="J72" s="1"/>
      <c r="K72" s="1"/>
    </row>
    <row r="73" spans="1:11" ht="42" customHeight="1">
      <c r="A73" s="7">
        <v>13</v>
      </c>
      <c r="B73" s="7" t="s">
        <v>83</v>
      </c>
      <c r="C73" s="7">
        <v>5</v>
      </c>
      <c r="D73" s="8" t="s">
        <v>88</v>
      </c>
      <c r="E73" s="10" t="s">
        <v>14</v>
      </c>
      <c r="F73" s="11"/>
      <c r="G73" s="12"/>
      <c r="H73" s="1"/>
      <c r="I73" s="1"/>
      <c r="J73" s="1"/>
      <c r="K73" s="1"/>
    </row>
    <row r="74" spans="1:11" ht="42" customHeight="1">
      <c r="A74" s="18">
        <v>14</v>
      </c>
      <c r="B74" s="18" t="s">
        <v>89</v>
      </c>
      <c r="C74" s="18">
        <v>1</v>
      </c>
      <c r="D74" s="19" t="s">
        <v>90</v>
      </c>
      <c r="E74" s="15" t="s">
        <v>14</v>
      </c>
      <c r="F74" s="16"/>
      <c r="G74" s="17"/>
      <c r="H74" s="1"/>
      <c r="I74" s="1"/>
      <c r="J74" s="1"/>
      <c r="K74" s="1"/>
    </row>
    <row r="75" spans="1:11" ht="42" customHeight="1">
      <c r="A75" s="20">
        <v>14</v>
      </c>
      <c r="B75" s="20" t="s">
        <v>89</v>
      </c>
      <c r="C75" s="20">
        <v>2</v>
      </c>
      <c r="D75" s="21" t="s">
        <v>91</v>
      </c>
      <c r="E75" s="10" t="s">
        <v>14</v>
      </c>
      <c r="F75" s="11"/>
      <c r="G75" s="12"/>
      <c r="H75" s="1"/>
      <c r="I75" s="1"/>
      <c r="J75" s="1"/>
      <c r="K75" s="1"/>
    </row>
    <row r="76" spans="1:11" ht="42" customHeight="1">
      <c r="A76" s="20">
        <v>14</v>
      </c>
      <c r="B76" s="20" t="s">
        <v>89</v>
      </c>
      <c r="C76" s="20">
        <v>3</v>
      </c>
      <c r="D76" s="21" t="s">
        <v>92</v>
      </c>
      <c r="E76" s="10" t="s">
        <v>14</v>
      </c>
      <c r="F76" s="11"/>
      <c r="G76" s="12"/>
      <c r="H76" s="1"/>
      <c r="I76" s="1"/>
      <c r="J76" s="1"/>
      <c r="K76" s="1"/>
    </row>
    <row r="77" spans="1:11" ht="42" customHeight="1">
      <c r="A77" s="20">
        <v>14</v>
      </c>
      <c r="B77" s="20" t="s">
        <v>89</v>
      </c>
      <c r="C77" s="20">
        <v>4</v>
      </c>
      <c r="D77" s="21" t="s">
        <v>93</v>
      </c>
      <c r="E77" s="10" t="s">
        <v>14</v>
      </c>
      <c r="F77" s="11"/>
      <c r="G77" s="12"/>
      <c r="H77" s="1"/>
      <c r="I77" s="1"/>
      <c r="J77" s="1"/>
      <c r="K77" s="1"/>
    </row>
    <row r="78" spans="1:11" ht="42" customHeight="1">
      <c r="A78" s="20">
        <v>14</v>
      </c>
      <c r="B78" s="20" t="s">
        <v>89</v>
      </c>
      <c r="C78" s="20">
        <v>5</v>
      </c>
      <c r="D78" s="21" t="s">
        <v>94</v>
      </c>
      <c r="E78" s="10" t="s">
        <v>14</v>
      </c>
      <c r="F78" s="11"/>
      <c r="G78" s="12"/>
      <c r="H78" s="1"/>
      <c r="I78" s="1"/>
      <c r="J78" s="1"/>
      <c r="K78" s="1"/>
    </row>
    <row r="79" spans="1:11" ht="42" customHeight="1">
      <c r="A79" s="13">
        <v>15</v>
      </c>
      <c r="B79" s="13" t="s">
        <v>89</v>
      </c>
      <c r="C79" s="13">
        <v>1</v>
      </c>
      <c r="D79" s="14" t="s">
        <v>95</v>
      </c>
      <c r="E79" s="15" t="s">
        <v>14</v>
      </c>
      <c r="F79" s="16"/>
      <c r="G79" s="17"/>
      <c r="H79" s="1"/>
      <c r="I79" s="1"/>
      <c r="J79" s="1"/>
      <c r="K79" s="1"/>
    </row>
    <row r="80" spans="1:11" ht="42" customHeight="1">
      <c r="A80" s="7">
        <v>15</v>
      </c>
      <c r="B80" s="7" t="s">
        <v>89</v>
      </c>
      <c r="C80" s="7">
        <v>2</v>
      </c>
      <c r="D80" s="8" t="s">
        <v>96</v>
      </c>
      <c r="E80" s="10" t="s">
        <v>14</v>
      </c>
      <c r="F80" s="11"/>
      <c r="G80" s="12"/>
      <c r="H80" s="1"/>
      <c r="I80" s="1"/>
      <c r="J80" s="1"/>
      <c r="K80" s="1"/>
    </row>
    <row r="81" spans="1:11" ht="42" customHeight="1">
      <c r="A81" s="7">
        <v>15</v>
      </c>
      <c r="B81" s="7" t="s">
        <v>89</v>
      </c>
      <c r="C81" s="7">
        <v>3</v>
      </c>
      <c r="D81" s="8" t="s">
        <v>97</v>
      </c>
      <c r="E81" s="10" t="s">
        <v>14</v>
      </c>
      <c r="F81" s="11"/>
      <c r="G81" s="12"/>
      <c r="H81" s="1"/>
      <c r="I81" s="1"/>
      <c r="J81" s="1"/>
      <c r="K81" s="1"/>
    </row>
    <row r="82" spans="1:11" ht="42" customHeight="1">
      <c r="A82" s="7">
        <v>15</v>
      </c>
      <c r="B82" s="7" t="s">
        <v>89</v>
      </c>
      <c r="C82" s="7">
        <v>4</v>
      </c>
      <c r="D82" s="8" t="s">
        <v>98</v>
      </c>
      <c r="E82" s="10" t="s">
        <v>14</v>
      </c>
      <c r="F82" s="11"/>
      <c r="G82" s="12"/>
      <c r="H82" s="1"/>
      <c r="I82" s="1"/>
      <c r="J82" s="1"/>
      <c r="K82" s="1"/>
    </row>
    <row r="83" spans="1:11" ht="42" customHeight="1">
      <c r="A83" s="7">
        <v>15</v>
      </c>
      <c r="B83" s="7" t="s">
        <v>89</v>
      </c>
      <c r="C83" s="7">
        <v>5</v>
      </c>
      <c r="D83" s="8" t="s">
        <v>99</v>
      </c>
      <c r="E83" s="10" t="s">
        <v>14</v>
      </c>
      <c r="F83" s="11"/>
      <c r="G83" s="12"/>
      <c r="H83" s="1"/>
      <c r="I83" s="1"/>
      <c r="J83" s="1"/>
      <c r="K83" s="1"/>
    </row>
    <row r="84" spans="1:11" ht="42" customHeight="1">
      <c r="A84" s="18">
        <v>16</v>
      </c>
      <c r="B84" s="18" t="s">
        <v>100</v>
      </c>
      <c r="C84" s="18">
        <v>1</v>
      </c>
      <c r="D84" s="19" t="s">
        <v>101</v>
      </c>
      <c r="E84" s="15" t="s">
        <v>14</v>
      </c>
      <c r="F84" s="16"/>
      <c r="G84" s="17"/>
      <c r="H84" s="1"/>
      <c r="I84" s="1"/>
      <c r="J84" s="1"/>
      <c r="K84" s="1"/>
    </row>
    <row r="85" spans="1:11" ht="42" customHeight="1">
      <c r="A85" s="20">
        <v>16</v>
      </c>
      <c r="B85" s="20" t="s">
        <v>100</v>
      </c>
      <c r="C85" s="20">
        <v>2</v>
      </c>
      <c r="D85" s="21" t="s">
        <v>102</v>
      </c>
      <c r="E85" s="10" t="s">
        <v>14</v>
      </c>
      <c r="F85" s="11"/>
      <c r="G85" s="12"/>
      <c r="H85" s="1"/>
      <c r="I85" s="1"/>
      <c r="J85" s="1"/>
      <c r="K85" s="1"/>
    </row>
    <row r="86" spans="1:11" ht="42" customHeight="1">
      <c r="A86" s="20">
        <v>16</v>
      </c>
      <c r="B86" s="20" t="s">
        <v>100</v>
      </c>
      <c r="C86" s="20">
        <v>3</v>
      </c>
      <c r="D86" s="21" t="s">
        <v>103</v>
      </c>
      <c r="E86" s="10" t="s">
        <v>14</v>
      </c>
      <c r="F86" s="11"/>
      <c r="G86" s="12"/>
      <c r="H86" s="1"/>
      <c r="I86" s="1"/>
      <c r="J86" s="1"/>
      <c r="K86" s="1"/>
    </row>
    <row r="87" spans="1:11" ht="42" customHeight="1">
      <c r="A87" s="20">
        <v>16</v>
      </c>
      <c r="B87" s="20" t="s">
        <v>100</v>
      </c>
      <c r="C87" s="20">
        <v>4</v>
      </c>
      <c r="D87" s="21" t="s">
        <v>104</v>
      </c>
      <c r="E87" s="10" t="s">
        <v>14</v>
      </c>
      <c r="F87" s="11"/>
      <c r="G87" s="12"/>
      <c r="H87" s="1"/>
      <c r="I87" s="1"/>
      <c r="J87" s="1"/>
      <c r="K87" s="1"/>
    </row>
    <row r="88" spans="1:11" ht="42" customHeight="1">
      <c r="A88" s="20">
        <v>16</v>
      </c>
      <c r="B88" s="20" t="s">
        <v>100</v>
      </c>
      <c r="C88" s="20">
        <v>5</v>
      </c>
      <c r="D88" s="21" t="s">
        <v>105</v>
      </c>
      <c r="E88" s="10" t="s">
        <v>14</v>
      </c>
      <c r="F88" s="11"/>
      <c r="G88" s="12"/>
      <c r="H88" s="1"/>
      <c r="I88" s="1"/>
      <c r="J88" s="1"/>
      <c r="K88" s="1"/>
    </row>
    <row r="89" spans="1:11" ht="42" customHeight="1">
      <c r="A89" s="13">
        <v>17</v>
      </c>
      <c r="B89" s="13" t="s">
        <v>106</v>
      </c>
      <c r="C89" s="13">
        <v>1</v>
      </c>
      <c r="D89" s="14" t="s">
        <v>107</v>
      </c>
      <c r="E89" s="15" t="s">
        <v>14</v>
      </c>
      <c r="F89" s="16"/>
      <c r="G89" s="17"/>
      <c r="H89" s="1"/>
      <c r="I89" s="1"/>
      <c r="J89" s="1"/>
      <c r="K89" s="1"/>
    </row>
    <row r="90" spans="1:11" ht="42" customHeight="1">
      <c r="A90" s="7">
        <v>17</v>
      </c>
      <c r="B90" s="7" t="s">
        <v>106</v>
      </c>
      <c r="C90" s="7">
        <v>2</v>
      </c>
      <c r="D90" s="8" t="s">
        <v>108</v>
      </c>
      <c r="E90" s="10" t="s">
        <v>14</v>
      </c>
      <c r="F90" s="11"/>
      <c r="G90" s="12"/>
      <c r="H90" s="1"/>
      <c r="I90" s="1"/>
      <c r="J90" s="1"/>
      <c r="K90" s="1"/>
    </row>
    <row r="91" spans="1:11" ht="42" customHeight="1">
      <c r="A91" s="7">
        <v>17</v>
      </c>
      <c r="B91" s="7" t="s">
        <v>106</v>
      </c>
      <c r="C91" s="7">
        <v>3</v>
      </c>
      <c r="D91" s="8" t="s">
        <v>109</v>
      </c>
      <c r="E91" s="10" t="s">
        <v>14</v>
      </c>
      <c r="F91" s="11"/>
      <c r="G91" s="12"/>
      <c r="H91" s="1"/>
      <c r="I91" s="1"/>
      <c r="J91" s="1"/>
      <c r="K91" s="1"/>
    </row>
    <row r="92" spans="1:11" ht="42" customHeight="1">
      <c r="A92" s="7">
        <v>17</v>
      </c>
      <c r="B92" s="7" t="s">
        <v>106</v>
      </c>
      <c r="C92" s="7">
        <v>4</v>
      </c>
      <c r="D92" s="8" t="s">
        <v>110</v>
      </c>
      <c r="E92" s="10" t="s">
        <v>14</v>
      </c>
      <c r="F92" s="11"/>
      <c r="G92" s="12"/>
      <c r="H92" s="1"/>
      <c r="I92" s="1"/>
      <c r="J92" s="1"/>
      <c r="K92" s="1"/>
    </row>
    <row r="93" spans="1:11" ht="42" customHeight="1">
      <c r="A93" s="7">
        <v>17</v>
      </c>
      <c r="B93" s="7" t="s">
        <v>106</v>
      </c>
      <c r="C93" s="7">
        <v>5</v>
      </c>
      <c r="D93" s="8" t="s">
        <v>111</v>
      </c>
      <c r="E93" s="10" t="s">
        <v>14</v>
      </c>
      <c r="F93" s="11"/>
      <c r="G93" s="12"/>
      <c r="H93" s="1"/>
      <c r="I93" s="1"/>
      <c r="J93" s="1"/>
      <c r="K93" s="1"/>
    </row>
    <row r="94" spans="1:11" ht="42" customHeight="1">
      <c r="A94" s="18">
        <v>18</v>
      </c>
      <c r="B94" s="18" t="s">
        <v>112</v>
      </c>
      <c r="C94" s="18">
        <v>1</v>
      </c>
      <c r="D94" s="19" t="s">
        <v>113</v>
      </c>
      <c r="E94" s="15" t="s">
        <v>14</v>
      </c>
      <c r="F94" s="16"/>
      <c r="G94" s="17"/>
      <c r="H94" s="1"/>
      <c r="I94" s="1"/>
      <c r="J94" s="1"/>
      <c r="K94" s="1"/>
    </row>
    <row r="95" spans="1:11" ht="42" customHeight="1">
      <c r="A95" s="20">
        <v>18</v>
      </c>
      <c r="B95" s="20" t="s">
        <v>112</v>
      </c>
      <c r="C95" s="20">
        <v>2</v>
      </c>
      <c r="D95" s="21" t="s">
        <v>114</v>
      </c>
      <c r="E95" s="10" t="s">
        <v>14</v>
      </c>
      <c r="F95" s="11"/>
      <c r="G95" s="12"/>
      <c r="H95" s="1"/>
      <c r="I95" s="1"/>
      <c r="J95" s="1"/>
      <c r="K95" s="1"/>
    </row>
    <row r="96" spans="1:11" ht="42" customHeight="1">
      <c r="A96" s="20">
        <v>18</v>
      </c>
      <c r="B96" s="20" t="s">
        <v>112</v>
      </c>
      <c r="C96" s="20">
        <v>3</v>
      </c>
      <c r="D96" s="21" t="s">
        <v>115</v>
      </c>
      <c r="E96" s="10" t="s">
        <v>14</v>
      </c>
      <c r="F96" s="11"/>
      <c r="G96" s="12"/>
      <c r="H96" s="1"/>
      <c r="I96" s="1"/>
      <c r="J96" s="1"/>
      <c r="K96" s="1"/>
    </row>
    <row r="97" spans="1:11" ht="42" customHeight="1">
      <c r="A97" s="20">
        <v>18</v>
      </c>
      <c r="B97" s="20" t="s">
        <v>112</v>
      </c>
      <c r="C97" s="20">
        <v>4</v>
      </c>
      <c r="D97" s="21" t="s">
        <v>116</v>
      </c>
      <c r="E97" s="10" t="s">
        <v>14</v>
      </c>
      <c r="F97" s="11"/>
      <c r="G97" s="12"/>
      <c r="H97" s="1"/>
      <c r="I97" s="1"/>
      <c r="J97" s="1"/>
      <c r="K97" s="1"/>
    </row>
    <row r="98" spans="1:11" ht="42" customHeight="1">
      <c r="A98" s="20">
        <v>18</v>
      </c>
      <c r="B98" s="20" t="s">
        <v>112</v>
      </c>
      <c r="C98" s="20">
        <v>5</v>
      </c>
      <c r="D98" s="21" t="s">
        <v>117</v>
      </c>
      <c r="E98" s="10" t="s">
        <v>14</v>
      </c>
      <c r="F98" s="11"/>
      <c r="G98" s="12"/>
      <c r="H98" s="1"/>
      <c r="I98" s="1"/>
      <c r="J98" s="1"/>
      <c r="K98" s="1"/>
    </row>
    <row r="99" spans="1:11" ht="42" customHeight="1">
      <c r="A99" s="13">
        <v>19</v>
      </c>
      <c r="B99" s="13" t="s">
        <v>118</v>
      </c>
      <c r="C99" s="13">
        <v>1</v>
      </c>
      <c r="D99" s="14" t="s">
        <v>119</v>
      </c>
      <c r="E99" s="15" t="s">
        <v>14</v>
      </c>
      <c r="F99" s="16"/>
      <c r="G99" s="17"/>
      <c r="H99" s="1"/>
      <c r="I99" s="1"/>
      <c r="J99" s="1"/>
      <c r="K99" s="1"/>
    </row>
    <row r="100" spans="1:11" ht="42" customHeight="1">
      <c r="A100" s="7">
        <v>19</v>
      </c>
      <c r="B100" s="7" t="s">
        <v>118</v>
      </c>
      <c r="C100" s="7">
        <v>2</v>
      </c>
      <c r="D100" s="8" t="s">
        <v>120</v>
      </c>
      <c r="E100" s="10" t="s">
        <v>14</v>
      </c>
      <c r="F100" s="11"/>
      <c r="G100" s="12"/>
      <c r="H100" s="1"/>
      <c r="I100" s="1"/>
      <c r="J100" s="1"/>
      <c r="K100" s="1"/>
    </row>
    <row r="101" spans="1:11" ht="42" customHeight="1">
      <c r="A101" s="7">
        <v>19</v>
      </c>
      <c r="B101" s="7" t="s">
        <v>118</v>
      </c>
      <c r="C101" s="7">
        <v>3</v>
      </c>
      <c r="D101" s="8" t="s">
        <v>121</v>
      </c>
      <c r="E101" s="10" t="s">
        <v>14</v>
      </c>
      <c r="F101" s="11"/>
      <c r="G101" s="12"/>
      <c r="H101" s="1"/>
      <c r="I101" s="1"/>
      <c r="J101" s="1"/>
      <c r="K101" s="1"/>
    </row>
    <row r="102" spans="1:11" ht="42" customHeight="1">
      <c r="A102" s="7">
        <v>19</v>
      </c>
      <c r="B102" s="7" t="s">
        <v>118</v>
      </c>
      <c r="C102" s="7">
        <v>4</v>
      </c>
      <c r="D102" s="8" t="s">
        <v>122</v>
      </c>
      <c r="E102" s="10" t="s">
        <v>14</v>
      </c>
      <c r="F102" s="11"/>
      <c r="G102" s="12"/>
      <c r="H102" s="1"/>
      <c r="I102" s="1"/>
      <c r="J102" s="1"/>
      <c r="K102" s="1"/>
    </row>
    <row r="103" spans="1:11" ht="42" customHeight="1">
      <c r="A103" s="7">
        <v>19</v>
      </c>
      <c r="B103" s="7" t="s">
        <v>118</v>
      </c>
      <c r="C103" s="7">
        <v>5</v>
      </c>
      <c r="D103" s="8" t="s">
        <v>123</v>
      </c>
      <c r="E103" s="10" t="s">
        <v>14</v>
      </c>
      <c r="F103" s="11"/>
      <c r="G103" s="12"/>
      <c r="H103" s="1"/>
      <c r="I103" s="1"/>
      <c r="J103" s="1"/>
      <c r="K103" s="1"/>
    </row>
    <row r="104" spans="1:11" ht="42" customHeight="1">
      <c r="A104" s="18">
        <v>20</v>
      </c>
      <c r="B104" s="18" t="s">
        <v>118</v>
      </c>
      <c r="C104" s="18">
        <v>1</v>
      </c>
      <c r="D104" s="19" t="s">
        <v>124</v>
      </c>
      <c r="E104" s="15" t="s">
        <v>14</v>
      </c>
      <c r="F104" s="16"/>
      <c r="G104" s="17"/>
      <c r="H104" s="1"/>
      <c r="I104" s="1"/>
      <c r="J104" s="1"/>
      <c r="K104" s="1"/>
    </row>
    <row r="105" spans="1:11" ht="42" customHeight="1">
      <c r="A105" s="20">
        <v>20</v>
      </c>
      <c r="B105" s="20" t="s">
        <v>118</v>
      </c>
      <c r="C105" s="20">
        <v>2</v>
      </c>
      <c r="D105" s="21" t="s">
        <v>125</v>
      </c>
      <c r="E105" s="10" t="s">
        <v>14</v>
      </c>
      <c r="F105" s="11"/>
      <c r="G105" s="12"/>
      <c r="H105" s="1"/>
      <c r="I105" s="1"/>
      <c r="J105" s="1"/>
      <c r="K105" s="1"/>
    </row>
    <row r="106" spans="1:11" ht="42" customHeight="1">
      <c r="A106" s="20">
        <v>20</v>
      </c>
      <c r="B106" s="20" t="s">
        <v>118</v>
      </c>
      <c r="C106" s="20">
        <v>3</v>
      </c>
      <c r="D106" s="21" t="s">
        <v>126</v>
      </c>
      <c r="E106" s="10" t="s">
        <v>14</v>
      </c>
      <c r="F106" s="11"/>
      <c r="G106" s="12"/>
      <c r="H106" s="1"/>
      <c r="I106" s="1"/>
      <c r="J106" s="1"/>
      <c r="K106" s="1"/>
    </row>
    <row r="107" spans="1:11" ht="42" customHeight="1">
      <c r="A107" s="20">
        <v>20</v>
      </c>
      <c r="B107" s="20" t="s">
        <v>118</v>
      </c>
      <c r="C107" s="20">
        <v>4</v>
      </c>
      <c r="D107" s="21" t="s">
        <v>127</v>
      </c>
      <c r="E107" s="10" t="s">
        <v>14</v>
      </c>
      <c r="F107" s="11"/>
      <c r="G107" s="12"/>
      <c r="H107" s="1"/>
      <c r="I107" s="1"/>
      <c r="J107" s="1"/>
      <c r="K107" s="1"/>
    </row>
    <row r="108" spans="1:11" ht="42" customHeight="1">
      <c r="A108" s="20">
        <v>20</v>
      </c>
      <c r="B108" s="20" t="s">
        <v>118</v>
      </c>
      <c r="C108" s="20">
        <v>5</v>
      </c>
      <c r="D108" s="21" t="s">
        <v>128</v>
      </c>
      <c r="E108" s="10" t="s">
        <v>14</v>
      </c>
      <c r="F108" s="11"/>
      <c r="G108" s="12"/>
      <c r="H108" s="1"/>
      <c r="I108" s="1"/>
      <c r="J108" s="1"/>
      <c r="K108" s="1"/>
    </row>
    <row r="109" spans="1:11" ht="42" customHeight="1">
      <c r="A109" s="13">
        <v>21</v>
      </c>
      <c r="B109" s="13" t="s">
        <v>129</v>
      </c>
      <c r="C109" s="13">
        <v>1</v>
      </c>
      <c r="D109" s="14" t="s">
        <v>130</v>
      </c>
      <c r="E109" s="15" t="s">
        <v>14</v>
      </c>
      <c r="F109" s="16"/>
      <c r="G109" s="17"/>
      <c r="H109" s="1"/>
      <c r="I109" s="1"/>
      <c r="J109" s="1"/>
      <c r="K109" s="1"/>
    </row>
    <row r="110" spans="1:11" ht="42" customHeight="1">
      <c r="A110" s="7">
        <v>21</v>
      </c>
      <c r="B110" s="7" t="s">
        <v>129</v>
      </c>
      <c r="C110" s="7">
        <v>2</v>
      </c>
      <c r="D110" s="8" t="s">
        <v>131</v>
      </c>
      <c r="E110" s="10" t="s">
        <v>14</v>
      </c>
      <c r="F110" s="11"/>
      <c r="G110" s="12"/>
      <c r="H110" s="1"/>
      <c r="I110" s="1"/>
      <c r="J110" s="1"/>
      <c r="K110" s="1"/>
    </row>
    <row r="111" spans="1:11" ht="42" customHeight="1">
      <c r="A111" s="7">
        <v>21</v>
      </c>
      <c r="B111" s="7" t="s">
        <v>129</v>
      </c>
      <c r="C111" s="7">
        <v>3</v>
      </c>
      <c r="D111" s="8" t="s">
        <v>132</v>
      </c>
      <c r="E111" s="10" t="s">
        <v>14</v>
      </c>
      <c r="F111" s="11"/>
      <c r="G111" s="12"/>
      <c r="H111" s="1"/>
      <c r="I111" s="1"/>
      <c r="J111" s="1"/>
      <c r="K111" s="1"/>
    </row>
    <row r="112" spans="1:11" ht="42" customHeight="1">
      <c r="A112" s="7">
        <v>21</v>
      </c>
      <c r="B112" s="7" t="s">
        <v>129</v>
      </c>
      <c r="C112" s="7">
        <v>4</v>
      </c>
      <c r="D112" s="8" t="s">
        <v>133</v>
      </c>
      <c r="E112" s="10" t="s">
        <v>14</v>
      </c>
      <c r="F112" s="11"/>
      <c r="G112" s="12"/>
      <c r="H112" s="1"/>
      <c r="I112" s="1"/>
      <c r="J112" s="1"/>
      <c r="K112" s="1"/>
    </row>
    <row r="113" spans="1:11" ht="42" customHeight="1">
      <c r="A113" s="7">
        <v>21</v>
      </c>
      <c r="B113" s="7" t="s">
        <v>129</v>
      </c>
      <c r="C113" s="7">
        <v>5</v>
      </c>
      <c r="D113" s="8" t="s">
        <v>134</v>
      </c>
      <c r="E113" s="10" t="s">
        <v>14</v>
      </c>
      <c r="F113" s="11"/>
      <c r="G113" s="12"/>
      <c r="H113" s="1"/>
      <c r="I113" s="1"/>
      <c r="J113" s="1"/>
      <c r="K113" s="1"/>
    </row>
    <row r="114" spans="1:11" ht="42" customHeight="1">
      <c r="A114" s="18">
        <v>22</v>
      </c>
      <c r="B114" s="18" t="s">
        <v>129</v>
      </c>
      <c r="C114" s="18">
        <v>1</v>
      </c>
      <c r="D114" s="19" t="s">
        <v>135</v>
      </c>
      <c r="E114" s="15" t="s">
        <v>14</v>
      </c>
      <c r="F114" s="16"/>
      <c r="G114" s="17"/>
      <c r="H114" s="1"/>
      <c r="I114" s="1"/>
      <c r="J114" s="1"/>
      <c r="K114" s="1"/>
    </row>
    <row r="115" spans="1:11" ht="42" customHeight="1">
      <c r="A115" s="20">
        <v>22</v>
      </c>
      <c r="B115" s="20" t="s">
        <v>129</v>
      </c>
      <c r="C115" s="20">
        <v>2</v>
      </c>
      <c r="D115" s="21" t="s">
        <v>136</v>
      </c>
      <c r="E115" s="10" t="s">
        <v>14</v>
      </c>
      <c r="F115" s="11"/>
      <c r="G115" s="12"/>
      <c r="H115" s="1"/>
      <c r="I115" s="1"/>
      <c r="J115" s="1"/>
      <c r="K115" s="1"/>
    </row>
    <row r="116" spans="1:11" ht="42" customHeight="1">
      <c r="A116" s="20">
        <v>22</v>
      </c>
      <c r="B116" s="20" t="s">
        <v>129</v>
      </c>
      <c r="C116" s="20">
        <v>3</v>
      </c>
      <c r="D116" s="21" t="s">
        <v>137</v>
      </c>
      <c r="E116" s="10" t="s">
        <v>14</v>
      </c>
      <c r="F116" s="11"/>
      <c r="G116" s="12"/>
      <c r="H116" s="1"/>
      <c r="I116" s="1"/>
      <c r="J116" s="1"/>
      <c r="K116" s="1"/>
    </row>
    <row r="117" spans="1:11" ht="42" customHeight="1">
      <c r="A117" s="20">
        <v>22</v>
      </c>
      <c r="B117" s="20" t="s">
        <v>129</v>
      </c>
      <c r="C117" s="20">
        <v>4</v>
      </c>
      <c r="D117" s="21" t="s">
        <v>138</v>
      </c>
      <c r="E117" s="10" t="s">
        <v>14</v>
      </c>
      <c r="F117" s="11"/>
      <c r="G117" s="12"/>
      <c r="H117" s="1"/>
      <c r="I117" s="1"/>
      <c r="J117" s="1"/>
      <c r="K117" s="1"/>
    </row>
    <row r="118" spans="1:11" ht="42" customHeight="1">
      <c r="A118" s="20">
        <v>22</v>
      </c>
      <c r="B118" s="20" t="s">
        <v>129</v>
      </c>
      <c r="C118" s="20">
        <v>5</v>
      </c>
      <c r="D118" s="21" t="s">
        <v>139</v>
      </c>
      <c r="E118" s="10" t="s">
        <v>14</v>
      </c>
      <c r="F118" s="11"/>
      <c r="G118" s="12"/>
      <c r="H118" s="1"/>
      <c r="I118" s="1"/>
      <c r="J118" s="1"/>
      <c r="K118" s="1"/>
    </row>
    <row r="119" spans="1:11" ht="42" customHeight="1">
      <c r="A119" s="13">
        <v>23</v>
      </c>
      <c r="B119" s="13" t="s">
        <v>140</v>
      </c>
      <c r="C119" s="13">
        <v>1</v>
      </c>
      <c r="D119" s="14" t="s">
        <v>141</v>
      </c>
      <c r="E119" s="15" t="s">
        <v>14</v>
      </c>
      <c r="F119" s="16"/>
      <c r="G119" s="17"/>
      <c r="H119" s="1"/>
      <c r="I119" s="1"/>
      <c r="J119" s="1"/>
      <c r="K119" s="1"/>
    </row>
    <row r="120" spans="1:11" ht="42" customHeight="1">
      <c r="A120" s="7">
        <v>23</v>
      </c>
      <c r="B120" s="7" t="s">
        <v>140</v>
      </c>
      <c r="C120" s="7">
        <v>2</v>
      </c>
      <c r="D120" s="8" t="s">
        <v>142</v>
      </c>
      <c r="E120" s="10" t="s">
        <v>14</v>
      </c>
      <c r="F120" s="11"/>
      <c r="G120" s="12"/>
      <c r="H120" s="1"/>
      <c r="I120" s="1"/>
      <c r="J120" s="1"/>
      <c r="K120" s="1"/>
    </row>
    <row r="121" spans="1:11" ht="42" customHeight="1">
      <c r="A121" s="7">
        <v>23</v>
      </c>
      <c r="B121" s="7" t="s">
        <v>140</v>
      </c>
      <c r="C121" s="7">
        <v>3</v>
      </c>
      <c r="D121" s="8" t="s">
        <v>143</v>
      </c>
      <c r="E121" s="10" t="s">
        <v>14</v>
      </c>
      <c r="F121" s="11"/>
      <c r="G121" s="12"/>
      <c r="H121" s="1"/>
      <c r="I121" s="1"/>
      <c r="J121" s="1"/>
      <c r="K121" s="1"/>
    </row>
    <row r="122" spans="1:11" ht="42" customHeight="1">
      <c r="A122" s="7">
        <v>23</v>
      </c>
      <c r="B122" s="7" t="s">
        <v>140</v>
      </c>
      <c r="C122" s="7">
        <v>4</v>
      </c>
      <c r="D122" s="8" t="s">
        <v>144</v>
      </c>
      <c r="E122" s="10" t="s">
        <v>14</v>
      </c>
      <c r="F122" s="11"/>
      <c r="G122" s="12"/>
      <c r="H122" s="1"/>
      <c r="I122" s="1"/>
      <c r="J122" s="1"/>
      <c r="K122" s="1"/>
    </row>
    <row r="123" spans="1:11" ht="42" customHeight="1">
      <c r="A123" s="7">
        <v>23</v>
      </c>
      <c r="B123" s="7" t="s">
        <v>140</v>
      </c>
      <c r="C123" s="7">
        <v>5</v>
      </c>
      <c r="D123" s="8" t="s">
        <v>145</v>
      </c>
      <c r="E123" s="10" t="s">
        <v>14</v>
      </c>
      <c r="F123" s="11"/>
      <c r="G123" s="12"/>
      <c r="H123" s="1"/>
      <c r="I123" s="1"/>
      <c r="J123" s="1"/>
      <c r="K123" s="1"/>
    </row>
    <row r="124" spans="1:11" ht="42" customHeight="1">
      <c r="A124" s="18">
        <v>24</v>
      </c>
      <c r="B124" s="18" t="s">
        <v>146</v>
      </c>
      <c r="C124" s="18">
        <v>1</v>
      </c>
      <c r="D124" s="19" t="s">
        <v>147</v>
      </c>
      <c r="E124" s="15" t="s">
        <v>14</v>
      </c>
      <c r="F124" s="16"/>
      <c r="G124" s="17"/>
      <c r="H124" s="1"/>
      <c r="I124" s="1"/>
      <c r="J124" s="1"/>
      <c r="K124" s="1"/>
    </row>
    <row r="125" spans="1:11" ht="42" customHeight="1">
      <c r="A125" s="20">
        <v>24</v>
      </c>
      <c r="B125" s="20" t="s">
        <v>146</v>
      </c>
      <c r="C125" s="20">
        <v>2</v>
      </c>
      <c r="D125" s="21" t="s">
        <v>148</v>
      </c>
      <c r="E125" s="10" t="s">
        <v>14</v>
      </c>
      <c r="F125" s="11"/>
      <c r="G125" s="12"/>
      <c r="H125" s="1"/>
      <c r="I125" s="1"/>
      <c r="J125" s="1"/>
      <c r="K125" s="1"/>
    </row>
    <row r="126" spans="1:11" ht="42" customHeight="1">
      <c r="A126" s="20">
        <v>24</v>
      </c>
      <c r="B126" s="20" t="s">
        <v>146</v>
      </c>
      <c r="C126" s="20">
        <v>3</v>
      </c>
      <c r="D126" s="21" t="s">
        <v>149</v>
      </c>
      <c r="E126" s="10" t="s">
        <v>14</v>
      </c>
      <c r="F126" s="11"/>
      <c r="G126" s="12"/>
      <c r="H126" s="1"/>
      <c r="I126" s="1"/>
      <c r="J126" s="1"/>
      <c r="K126" s="1"/>
    </row>
    <row r="127" spans="1:11" ht="42" customHeight="1">
      <c r="A127" s="20">
        <v>24</v>
      </c>
      <c r="B127" s="20" t="s">
        <v>146</v>
      </c>
      <c r="C127" s="20">
        <v>4</v>
      </c>
      <c r="D127" s="21" t="s">
        <v>150</v>
      </c>
      <c r="E127" s="10" t="s">
        <v>14</v>
      </c>
      <c r="F127" s="11"/>
      <c r="G127" s="12"/>
      <c r="H127" s="1"/>
      <c r="I127" s="1"/>
      <c r="J127" s="1"/>
      <c r="K127" s="1"/>
    </row>
    <row r="128" spans="1:11" ht="42" customHeight="1">
      <c r="A128" s="20">
        <v>24</v>
      </c>
      <c r="B128" s="20" t="s">
        <v>146</v>
      </c>
      <c r="C128" s="20">
        <v>5</v>
      </c>
      <c r="D128" s="21" t="s">
        <v>151</v>
      </c>
      <c r="E128" s="10" t="s">
        <v>14</v>
      </c>
      <c r="F128" s="11"/>
      <c r="G128" s="12"/>
      <c r="H128" s="1"/>
      <c r="I128" s="1"/>
      <c r="J128" s="1"/>
      <c r="K128" s="1"/>
    </row>
    <row r="129" spans="1:11" ht="42" customHeight="1">
      <c r="A129" s="13">
        <v>25</v>
      </c>
      <c r="B129" s="13" t="s">
        <v>146</v>
      </c>
      <c r="C129" s="13">
        <v>1</v>
      </c>
      <c r="D129" s="14" t="s">
        <v>152</v>
      </c>
      <c r="E129" s="15" t="s">
        <v>14</v>
      </c>
      <c r="F129" s="16"/>
      <c r="G129" s="17"/>
      <c r="H129" s="1"/>
      <c r="I129" s="1"/>
      <c r="J129" s="1"/>
      <c r="K129" s="1"/>
    </row>
    <row r="130" spans="1:11" ht="42" customHeight="1">
      <c r="A130" s="7">
        <v>25</v>
      </c>
      <c r="B130" s="7" t="s">
        <v>146</v>
      </c>
      <c r="C130" s="7">
        <v>2</v>
      </c>
      <c r="D130" s="8" t="s">
        <v>153</v>
      </c>
      <c r="E130" s="10" t="s">
        <v>14</v>
      </c>
      <c r="F130" s="11"/>
      <c r="G130" s="12"/>
      <c r="H130" s="1"/>
      <c r="I130" s="1"/>
      <c r="J130" s="1"/>
      <c r="K130" s="1"/>
    </row>
    <row r="131" spans="1:11" ht="42" customHeight="1">
      <c r="A131" s="7">
        <v>25</v>
      </c>
      <c r="B131" s="7" t="s">
        <v>146</v>
      </c>
      <c r="C131" s="7">
        <v>3</v>
      </c>
      <c r="D131" s="8" t="s">
        <v>154</v>
      </c>
      <c r="E131" s="10" t="s">
        <v>14</v>
      </c>
      <c r="F131" s="11"/>
      <c r="G131" s="12"/>
      <c r="H131" s="1"/>
      <c r="I131" s="1"/>
      <c r="J131" s="1"/>
      <c r="K131" s="1"/>
    </row>
    <row r="132" spans="1:11" ht="42" customHeight="1">
      <c r="A132" s="7">
        <v>25</v>
      </c>
      <c r="B132" s="7" t="s">
        <v>146</v>
      </c>
      <c r="C132" s="7">
        <v>4</v>
      </c>
      <c r="D132" s="8" t="s">
        <v>155</v>
      </c>
      <c r="E132" s="10" t="s">
        <v>14</v>
      </c>
      <c r="F132" s="11"/>
      <c r="G132" s="12"/>
      <c r="H132" s="1"/>
      <c r="I132" s="1"/>
      <c r="J132" s="1"/>
      <c r="K132" s="1"/>
    </row>
    <row r="133" spans="1:11" ht="42" customHeight="1">
      <c r="A133" s="7">
        <v>25</v>
      </c>
      <c r="B133" s="7" t="s">
        <v>146</v>
      </c>
      <c r="C133" s="7">
        <v>5</v>
      </c>
      <c r="D133" s="8" t="s">
        <v>156</v>
      </c>
      <c r="E133" s="10" t="s">
        <v>14</v>
      </c>
      <c r="F133" s="11"/>
      <c r="G133" s="12"/>
      <c r="H133" s="1"/>
      <c r="I133" s="1"/>
      <c r="J133" s="1"/>
      <c r="K133" s="1"/>
    </row>
    <row r="134" spans="1:11" ht="42" customHeight="1">
      <c r="A134" s="18">
        <v>26</v>
      </c>
      <c r="B134" s="18" t="s">
        <v>146</v>
      </c>
      <c r="C134" s="18">
        <v>1</v>
      </c>
      <c r="D134" s="19" t="s">
        <v>157</v>
      </c>
      <c r="E134" s="15" t="s">
        <v>14</v>
      </c>
      <c r="F134" s="16"/>
      <c r="G134" s="17"/>
      <c r="H134" s="1"/>
      <c r="I134" s="1"/>
      <c r="J134" s="1"/>
      <c r="K134" s="1"/>
    </row>
    <row r="135" spans="1:11" ht="42" customHeight="1">
      <c r="A135" s="20">
        <v>26</v>
      </c>
      <c r="B135" s="20" t="s">
        <v>146</v>
      </c>
      <c r="C135" s="20">
        <v>2</v>
      </c>
      <c r="D135" s="21" t="s">
        <v>158</v>
      </c>
      <c r="E135" s="10" t="s">
        <v>14</v>
      </c>
      <c r="F135" s="11"/>
      <c r="G135" s="12"/>
      <c r="H135" s="1"/>
      <c r="I135" s="1"/>
      <c r="J135" s="1"/>
      <c r="K135" s="1"/>
    </row>
    <row r="136" spans="1:11" ht="42" customHeight="1">
      <c r="A136" s="20">
        <v>26</v>
      </c>
      <c r="B136" s="20" t="s">
        <v>146</v>
      </c>
      <c r="C136" s="20">
        <v>3</v>
      </c>
      <c r="D136" s="21" t="s">
        <v>159</v>
      </c>
      <c r="E136" s="10" t="s">
        <v>14</v>
      </c>
      <c r="F136" s="11"/>
      <c r="G136" s="12"/>
      <c r="H136" s="1"/>
      <c r="I136" s="1"/>
      <c r="J136" s="1"/>
      <c r="K136" s="1"/>
    </row>
    <row r="137" spans="1:11" ht="42" customHeight="1">
      <c r="A137" s="20">
        <v>26</v>
      </c>
      <c r="B137" s="20" t="s">
        <v>146</v>
      </c>
      <c r="C137" s="20">
        <v>4</v>
      </c>
      <c r="D137" s="21" t="s">
        <v>160</v>
      </c>
      <c r="E137" s="10" t="s">
        <v>14</v>
      </c>
      <c r="F137" s="11"/>
      <c r="G137" s="12"/>
      <c r="H137" s="1"/>
      <c r="I137" s="1"/>
      <c r="J137" s="1"/>
      <c r="K137" s="1"/>
    </row>
    <row r="138" spans="1:11" ht="42" customHeight="1">
      <c r="A138" s="20">
        <v>26</v>
      </c>
      <c r="B138" s="20" t="s">
        <v>146</v>
      </c>
      <c r="C138" s="20">
        <v>5</v>
      </c>
      <c r="D138" s="21" t="s">
        <v>161</v>
      </c>
      <c r="E138" s="10" t="s">
        <v>14</v>
      </c>
      <c r="F138" s="11"/>
      <c r="G138" s="12"/>
      <c r="H138" s="1"/>
      <c r="I138" s="1"/>
      <c r="J138" s="1"/>
      <c r="K138" s="1"/>
    </row>
    <row r="139" spans="1:11" ht="42" customHeight="1">
      <c r="A139" s="13">
        <v>27</v>
      </c>
      <c r="B139" s="13" t="s">
        <v>162</v>
      </c>
      <c r="C139" s="13">
        <v>1</v>
      </c>
      <c r="D139" s="14" t="s">
        <v>163</v>
      </c>
      <c r="E139" s="15" t="s">
        <v>14</v>
      </c>
      <c r="F139" s="16"/>
      <c r="G139" s="17"/>
      <c r="H139" s="1"/>
      <c r="I139" s="1"/>
      <c r="J139" s="1"/>
      <c r="K139" s="1"/>
    </row>
    <row r="140" spans="1:11" ht="42" customHeight="1">
      <c r="A140" s="7">
        <v>27</v>
      </c>
      <c r="B140" s="7" t="s">
        <v>162</v>
      </c>
      <c r="C140" s="7">
        <v>2</v>
      </c>
      <c r="D140" s="8" t="s">
        <v>164</v>
      </c>
      <c r="E140" s="10" t="s">
        <v>14</v>
      </c>
      <c r="F140" s="11"/>
      <c r="G140" s="12"/>
      <c r="H140" s="1"/>
      <c r="I140" s="1"/>
      <c r="J140" s="1"/>
      <c r="K140" s="1"/>
    </row>
    <row r="141" spans="1:11" ht="42" customHeight="1">
      <c r="A141" s="7">
        <v>27</v>
      </c>
      <c r="B141" s="7" t="s">
        <v>162</v>
      </c>
      <c r="C141" s="7">
        <v>3</v>
      </c>
      <c r="D141" s="8" t="s">
        <v>165</v>
      </c>
      <c r="E141" s="10" t="s">
        <v>14</v>
      </c>
      <c r="F141" s="11"/>
      <c r="G141" s="12"/>
      <c r="H141" s="1"/>
      <c r="I141" s="1"/>
      <c r="J141" s="1"/>
      <c r="K141" s="1"/>
    </row>
    <row r="142" spans="1:11" ht="42" customHeight="1">
      <c r="A142" s="7">
        <v>27</v>
      </c>
      <c r="B142" s="7" t="s">
        <v>162</v>
      </c>
      <c r="C142" s="7">
        <v>4</v>
      </c>
      <c r="D142" s="8" t="s">
        <v>166</v>
      </c>
      <c r="E142" s="10" t="s">
        <v>14</v>
      </c>
      <c r="F142" s="11"/>
      <c r="G142" s="12"/>
      <c r="H142" s="1"/>
      <c r="I142" s="1"/>
      <c r="J142" s="1"/>
      <c r="K142" s="1"/>
    </row>
    <row r="143" spans="1:11" ht="42" customHeight="1">
      <c r="A143" s="7">
        <v>27</v>
      </c>
      <c r="B143" s="7" t="s">
        <v>162</v>
      </c>
      <c r="C143" s="7">
        <v>5</v>
      </c>
      <c r="D143" s="8" t="s">
        <v>167</v>
      </c>
      <c r="E143" s="10" t="s">
        <v>14</v>
      </c>
      <c r="F143" s="11"/>
      <c r="G143" s="12"/>
      <c r="H143" s="1"/>
      <c r="I143" s="1"/>
      <c r="J143" s="1"/>
      <c r="K143" s="1"/>
    </row>
    <row r="144" spans="1:11" ht="42" customHeight="1">
      <c r="A144" s="18">
        <v>28</v>
      </c>
      <c r="B144" s="18" t="s">
        <v>168</v>
      </c>
      <c r="C144" s="18">
        <v>1</v>
      </c>
      <c r="D144" s="19" t="s">
        <v>169</v>
      </c>
      <c r="E144" s="15" t="s">
        <v>14</v>
      </c>
      <c r="F144" s="16"/>
      <c r="G144" s="17"/>
      <c r="H144" s="1"/>
      <c r="I144" s="1"/>
      <c r="J144" s="1"/>
      <c r="K144" s="1"/>
    </row>
    <row r="145" spans="1:11" ht="42" customHeight="1">
      <c r="A145" s="20">
        <v>28</v>
      </c>
      <c r="B145" s="20" t="s">
        <v>168</v>
      </c>
      <c r="C145" s="20">
        <v>2</v>
      </c>
      <c r="D145" s="21" t="s">
        <v>170</v>
      </c>
      <c r="E145" s="10" t="s">
        <v>14</v>
      </c>
      <c r="F145" s="11"/>
      <c r="G145" s="12"/>
      <c r="H145" s="1"/>
      <c r="I145" s="1"/>
      <c r="J145" s="1"/>
      <c r="K145" s="1"/>
    </row>
    <row r="146" spans="1:11" ht="42" customHeight="1">
      <c r="A146" s="20">
        <v>28</v>
      </c>
      <c r="B146" s="20" t="s">
        <v>168</v>
      </c>
      <c r="C146" s="20">
        <v>3</v>
      </c>
      <c r="D146" s="21" t="s">
        <v>171</v>
      </c>
      <c r="E146" s="10" t="s">
        <v>14</v>
      </c>
      <c r="F146" s="11"/>
      <c r="G146" s="12"/>
      <c r="H146" s="1"/>
      <c r="I146" s="1"/>
      <c r="J146" s="1"/>
      <c r="K146" s="1"/>
    </row>
    <row r="147" spans="1:11" ht="42" customHeight="1">
      <c r="A147" s="20">
        <v>28</v>
      </c>
      <c r="B147" s="20" t="s">
        <v>168</v>
      </c>
      <c r="C147" s="20">
        <v>4</v>
      </c>
      <c r="D147" s="21" t="s">
        <v>172</v>
      </c>
      <c r="E147" s="10" t="s">
        <v>14</v>
      </c>
      <c r="F147" s="11"/>
      <c r="G147" s="12"/>
      <c r="H147" s="1"/>
      <c r="I147" s="1"/>
      <c r="J147" s="1"/>
      <c r="K147" s="1"/>
    </row>
    <row r="148" spans="1:11" ht="42" customHeight="1">
      <c r="A148" s="20">
        <v>28</v>
      </c>
      <c r="B148" s="20" t="s">
        <v>168</v>
      </c>
      <c r="C148" s="20">
        <v>5</v>
      </c>
      <c r="D148" s="21" t="s">
        <v>173</v>
      </c>
      <c r="E148" s="10" t="s">
        <v>14</v>
      </c>
      <c r="F148" s="11"/>
      <c r="G148" s="12"/>
      <c r="H148" s="1"/>
      <c r="I148" s="1"/>
      <c r="J148" s="1"/>
      <c r="K148" s="1"/>
    </row>
  </sheetData>
  <mergeCells count="8">
    <mergeCell ref="I43:K44"/>
    <mergeCell ref="I46:K46"/>
    <mergeCell ref="I47:K49"/>
    <mergeCell ref="A2:K2"/>
    <mergeCell ref="A5:K5"/>
    <mergeCell ref="A6:K6"/>
    <mergeCell ref="I39:K39"/>
    <mergeCell ref="I40:K41"/>
  </mergeCells>
  <phoneticPr fontId="9" type="noConversion"/>
  <conditionalFormatting sqref="A9:G148">
    <cfRule type="expression" dxfId="4" priority="1">
      <formula>$E9="☑"</formula>
    </cfRule>
  </conditionalFormatting>
  <conditionalFormatting sqref="I9:K36">
    <cfRule type="expression" dxfId="3" priority="2">
      <formula>$K9=1</formula>
    </cfRule>
  </conditionalFormatting>
  <dataValidations count="1">
    <dataValidation type="list" sqref="E9:E148" xr:uid="{00000000-0002-0000-0000-000000000000}">
      <formula1>"☐,☑"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94D75"/>
  </sheetPr>
  <dimension ref="A1:K188"/>
  <sheetViews>
    <sheetView showGridLines="0" tabSelected="1" workbookViewId="0">
      <pane ySplit="8" topLeftCell="A17" activePane="bottomLeft" state="frozen"/>
      <selection pane="bottomLeft" activeCell="G22" sqref="G22"/>
    </sheetView>
  </sheetViews>
  <sheetFormatPr defaultRowHeight="14.25"/>
  <cols>
    <col min="1" max="1" width="7.125" customWidth="1"/>
    <col min="2" max="2" width="19.5" customWidth="1"/>
    <col min="3" max="3" width="6.125" customWidth="1"/>
    <col min="4" max="4" width="50.5" customWidth="1"/>
    <col min="5" max="5" width="8" customWidth="1"/>
    <col min="6" max="6" width="11.625" customWidth="1"/>
    <col min="7" max="7" width="28.375" customWidth="1"/>
    <col min="8" max="8" width="2.5" customWidth="1"/>
    <col min="9" max="9" width="7.25" customWidth="1"/>
    <col min="10" max="10" width="8.375" customWidth="1"/>
    <col min="11" max="11" width="10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3.950000000000003" customHeight="1">
      <c r="A2" s="2" t="s">
        <v>174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30" customHeight="1">
      <c r="A4" s="23" t="s">
        <v>0</v>
      </c>
      <c r="B4" s="23">
        <v>180</v>
      </c>
      <c r="C4" s="23" t="s">
        <v>1</v>
      </c>
      <c r="D4" s="23">
        <f>COUNTIFS(E9:E188,"☑")</f>
        <v>15</v>
      </c>
      <c r="E4" s="23" t="s">
        <v>2</v>
      </c>
      <c r="F4" s="24">
        <f>D4/B4</f>
        <v>8.3333333333333329E-2</v>
      </c>
      <c r="G4" s="1"/>
      <c r="H4" s="1"/>
      <c r="I4" s="1"/>
      <c r="J4" s="1"/>
      <c r="K4" s="1"/>
    </row>
    <row r="5" spans="1:11">
      <c r="A5" s="25" t="s">
        <v>175</v>
      </c>
      <c r="B5" s="25"/>
      <c r="C5" s="25"/>
      <c r="D5" s="25"/>
      <c r="E5" s="25"/>
      <c r="F5" s="25"/>
      <c r="G5" s="25"/>
      <c r="H5" s="1"/>
      <c r="I5" s="1"/>
      <c r="J5" s="1"/>
      <c r="K5" s="1"/>
    </row>
    <row r="6" spans="1:11">
      <c r="A6" s="25" t="s">
        <v>176</v>
      </c>
      <c r="B6" s="25"/>
      <c r="C6" s="25"/>
      <c r="D6" s="25"/>
      <c r="E6" s="25"/>
      <c r="F6" s="25"/>
      <c r="G6" s="25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32.1" customHeight="1">
      <c r="A8" s="26" t="s">
        <v>4</v>
      </c>
      <c r="B8" s="26" t="s">
        <v>5</v>
      </c>
      <c r="C8" s="26" t="s">
        <v>6</v>
      </c>
      <c r="D8" s="26" t="s">
        <v>177</v>
      </c>
      <c r="E8" s="26" t="s">
        <v>8</v>
      </c>
      <c r="F8" s="26" t="s">
        <v>9</v>
      </c>
      <c r="G8" s="26" t="s">
        <v>10</v>
      </c>
      <c r="H8" s="1"/>
      <c r="I8" s="31" t="s">
        <v>4</v>
      </c>
      <c r="J8" s="31" t="s">
        <v>1</v>
      </c>
      <c r="K8" s="31" t="s">
        <v>11</v>
      </c>
    </row>
    <row r="9" spans="1:11" ht="39" customHeight="1">
      <c r="A9" s="7">
        <v>1</v>
      </c>
      <c r="B9" s="27" t="s">
        <v>178</v>
      </c>
      <c r="C9" s="27">
        <v>1</v>
      </c>
      <c r="D9" s="47" t="s">
        <v>667</v>
      </c>
      <c r="E9" s="28" t="s">
        <v>663</v>
      </c>
      <c r="F9" s="30" t="s">
        <v>669</v>
      </c>
      <c r="G9" s="29"/>
      <c r="H9" s="1"/>
      <c r="I9" s="7">
        <v>1</v>
      </c>
      <c r="J9" s="7">
        <f t="shared" ref="J9:J44" si="0">COUNTIFS($A$9:$A$188,I9,$E$9:$E$188,"☑")</f>
        <v>5</v>
      </c>
      <c r="K9" s="22">
        <f t="shared" ref="K9:K44" si="1">J9/5</f>
        <v>1</v>
      </c>
    </row>
    <row r="10" spans="1:11" ht="39" customHeight="1">
      <c r="A10" s="7">
        <v>1</v>
      </c>
      <c r="B10" s="27" t="s">
        <v>178</v>
      </c>
      <c r="C10" s="27">
        <v>2</v>
      </c>
      <c r="D10" s="8" t="s">
        <v>179</v>
      </c>
      <c r="E10" s="28" t="s">
        <v>663</v>
      </c>
      <c r="F10" s="30" t="s">
        <v>669</v>
      </c>
      <c r="G10" s="29"/>
      <c r="H10" s="1"/>
      <c r="I10" s="7">
        <v>2</v>
      </c>
      <c r="J10" s="7">
        <f t="shared" si="0"/>
        <v>5</v>
      </c>
      <c r="K10" s="22">
        <f t="shared" si="1"/>
        <v>1</v>
      </c>
    </row>
    <row r="11" spans="1:11" ht="39" customHeight="1">
      <c r="A11" s="7">
        <v>1</v>
      </c>
      <c r="B11" s="27" t="s">
        <v>178</v>
      </c>
      <c r="C11" s="27">
        <v>3</v>
      </c>
      <c r="D11" s="8" t="s">
        <v>180</v>
      </c>
      <c r="E11" s="28" t="s">
        <v>663</v>
      </c>
      <c r="F11" s="30" t="s">
        <v>669</v>
      </c>
      <c r="G11" s="29"/>
      <c r="H11" s="1"/>
      <c r="I11" s="7">
        <v>3</v>
      </c>
      <c r="J11" s="7">
        <f t="shared" si="0"/>
        <v>5</v>
      </c>
      <c r="K11" s="22">
        <f t="shared" si="1"/>
        <v>1</v>
      </c>
    </row>
    <row r="12" spans="1:11" ht="39" customHeight="1">
      <c r="A12" s="7">
        <v>1</v>
      </c>
      <c r="B12" s="27" t="s">
        <v>178</v>
      </c>
      <c r="C12" s="27">
        <v>4</v>
      </c>
      <c r="D12" s="8" t="s">
        <v>181</v>
      </c>
      <c r="E12" s="28" t="s">
        <v>663</v>
      </c>
      <c r="F12" s="30" t="s">
        <v>669</v>
      </c>
      <c r="G12" s="29"/>
      <c r="H12" s="1"/>
      <c r="I12" s="7">
        <v>4</v>
      </c>
      <c r="J12" s="7">
        <f t="shared" si="0"/>
        <v>0</v>
      </c>
      <c r="K12" s="22">
        <f t="shared" si="1"/>
        <v>0</v>
      </c>
    </row>
    <row r="13" spans="1:11" ht="39" customHeight="1">
      <c r="A13" s="7">
        <v>1</v>
      </c>
      <c r="B13" s="48" t="s">
        <v>668</v>
      </c>
      <c r="C13" s="27">
        <v>5</v>
      </c>
      <c r="D13" s="8" t="s">
        <v>182</v>
      </c>
      <c r="E13" s="28" t="s">
        <v>663</v>
      </c>
      <c r="F13" s="30" t="s">
        <v>669</v>
      </c>
      <c r="G13" s="29"/>
      <c r="H13" s="1"/>
      <c r="I13" s="7">
        <v>5</v>
      </c>
      <c r="J13" s="7">
        <f t="shared" si="0"/>
        <v>0</v>
      </c>
      <c r="K13" s="22">
        <f t="shared" si="1"/>
        <v>0</v>
      </c>
    </row>
    <row r="14" spans="1:11" ht="39" customHeight="1">
      <c r="A14" s="7">
        <v>2</v>
      </c>
      <c r="B14" s="27" t="s">
        <v>183</v>
      </c>
      <c r="C14" s="27">
        <v>1</v>
      </c>
      <c r="D14" s="8" t="s">
        <v>184</v>
      </c>
      <c r="E14" s="28" t="s">
        <v>663</v>
      </c>
      <c r="F14" s="30" t="s">
        <v>669</v>
      </c>
      <c r="G14" s="29"/>
      <c r="H14" s="1"/>
      <c r="I14" s="7">
        <v>6</v>
      </c>
      <c r="J14" s="7">
        <f t="shared" si="0"/>
        <v>0</v>
      </c>
      <c r="K14" s="22">
        <f t="shared" si="1"/>
        <v>0</v>
      </c>
    </row>
    <row r="15" spans="1:11" ht="39" customHeight="1">
      <c r="A15" s="7">
        <v>2</v>
      </c>
      <c r="B15" s="27" t="s">
        <v>183</v>
      </c>
      <c r="C15" s="27">
        <v>2</v>
      </c>
      <c r="D15" s="8" t="s">
        <v>185</v>
      </c>
      <c r="E15" s="28" t="s">
        <v>663</v>
      </c>
      <c r="F15" s="30" t="s">
        <v>669</v>
      </c>
      <c r="G15" s="29"/>
      <c r="H15" s="1"/>
      <c r="I15" s="7">
        <v>7</v>
      </c>
      <c r="J15" s="7">
        <f t="shared" si="0"/>
        <v>0</v>
      </c>
      <c r="K15" s="22">
        <f t="shared" si="1"/>
        <v>0</v>
      </c>
    </row>
    <row r="16" spans="1:11" ht="39" customHeight="1">
      <c r="A16" s="7">
        <v>2</v>
      </c>
      <c r="B16" s="27" t="s">
        <v>183</v>
      </c>
      <c r="C16" s="27">
        <v>3</v>
      </c>
      <c r="D16" s="8" t="s">
        <v>186</v>
      </c>
      <c r="E16" s="28" t="s">
        <v>663</v>
      </c>
      <c r="F16" s="30" t="s">
        <v>669</v>
      </c>
      <c r="G16" s="29"/>
      <c r="H16" s="1"/>
      <c r="I16" s="7">
        <v>8</v>
      </c>
      <c r="J16" s="7">
        <f t="shared" si="0"/>
        <v>0</v>
      </c>
      <c r="K16" s="22">
        <f t="shared" si="1"/>
        <v>0</v>
      </c>
    </row>
    <row r="17" spans="1:11" ht="39" customHeight="1">
      <c r="A17" s="7">
        <v>2</v>
      </c>
      <c r="B17" s="27" t="s">
        <v>183</v>
      </c>
      <c r="C17" s="27">
        <v>4</v>
      </c>
      <c r="D17" s="8" t="s">
        <v>187</v>
      </c>
      <c r="E17" s="28" t="s">
        <v>663</v>
      </c>
      <c r="F17" s="30" t="s">
        <v>669</v>
      </c>
      <c r="G17" s="29"/>
      <c r="H17" s="1"/>
      <c r="I17" s="7">
        <v>9</v>
      </c>
      <c r="J17" s="7">
        <f t="shared" si="0"/>
        <v>0</v>
      </c>
      <c r="K17" s="22">
        <f t="shared" si="1"/>
        <v>0</v>
      </c>
    </row>
    <row r="18" spans="1:11" ht="39" customHeight="1">
      <c r="A18" s="7">
        <v>2</v>
      </c>
      <c r="B18" s="27" t="s">
        <v>183</v>
      </c>
      <c r="C18" s="27">
        <v>5</v>
      </c>
      <c r="D18" s="8" t="s">
        <v>188</v>
      </c>
      <c r="E18" s="28" t="s">
        <v>663</v>
      </c>
      <c r="F18" s="30" t="s">
        <v>669</v>
      </c>
      <c r="G18" s="29"/>
      <c r="H18" s="1"/>
      <c r="I18" s="7">
        <v>10</v>
      </c>
      <c r="J18" s="7">
        <f t="shared" si="0"/>
        <v>0</v>
      </c>
      <c r="K18" s="22">
        <f t="shared" si="1"/>
        <v>0</v>
      </c>
    </row>
    <row r="19" spans="1:11" ht="39" customHeight="1">
      <c r="A19" s="7">
        <v>3</v>
      </c>
      <c r="B19" s="27" t="s">
        <v>189</v>
      </c>
      <c r="C19" s="27">
        <v>1</v>
      </c>
      <c r="D19" s="47" t="s">
        <v>670</v>
      </c>
      <c r="E19" s="28" t="s">
        <v>663</v>
      </c>
      <c r="F19" s="30" t="s">
        <v>672</v>
      </c>
      <c r="G19" s="29"/>
      <c r="H19" s="1"/>
      <c r="I19" s="7">
        <v>11</v>
      </c>
      <c r="J19" s="7">
        <f t="shared" si="0"/>
        <v>0</v>
      </c>
      <c r="K19" s="22">
        <f t="shared" si="1"/>
        <v>0</v>
      </c>
    </row>
    <row r="20" spans="1:11" ht="39" customHeight="1">
      <c r="A20" s="7">
        <v>3</v>
      </c>
      <c r="B20" s="27" t="s">
        <v>189</v>
      </c>
      <c r="C20" s="27">
        <v>2</v>
      </c>
      <c r="D20" s="8" t="s">
        <v>190</v>
      </c>
      <c r="E20" s="28" t="s">
        <v>663</v>
      </c>
      <c r="F20" s="30" t="s">
        <v>672</v>
      </c>
      <c r="G20" s="29"/>
      <c r="H20" s="1"/>
      <c r="I20" s="7">
        <v>12</v>
      </c>
      <c r="J20" s="7">
        <f t="shared" si="0"/>
        <v>0</v>
      </c>
      <c r="K20" s="22">
        <f t="shared" si="1"/>
        <v>0</v>
      </c>
    </row>
    <row r="21" spans="1:11" ht="39" customHeight="1">
      <c r="A21" s="7">
        <v>3</v>
      </c>
      <c r="B21" s="27" t="s">
        <v>189</v>
      </c>
      <c r="C21" s="27">
        <v>3</v>
      </c>
      <c r="D21" s="8" t="s">
        <v>191</v>
      </c>
      <c r="E21" s="28" t="s">
        <v>663</v>
      </c>
      <c r="F21" s="30" t="s">
        <v>672</v>
      </c>
      <c r="G21" s="29"/>
      <c r="H21" s="1"/>
      <c r="I21" s="7">
        <v>13</v>
      </c>
      <c r="J21" s="7">
        <f t="shared" si="0"/>
        <v>0</v>
      </c>
      <c r="K21" s="22">
        <f t="shared" si="1"/>
        <v>0</v>
      </c>
    </row>
    <row r="22" spans="1:11" ht="39" customHeight="1">
      <c r="A22" s="7">
        <v>3</v>
      </c>
      <c r="B22" s="27" t="s">
        <v>189</v>
      </c>
      <c r="C22" s="27">
        <v>4</v>
      </c>
      <c r="D22" s="8" t="s">
        <v>192</v>
      </c>
      <c r="E22" s="28" t="s">
        <v>663</v>
      </c>
      <c r="F22" s="30" t="s">
        <v>672</v>
      </c>
      <c r="G22" s="29"/>
      <c r="H22" s="1"/>
      <c r="I22" s="7">
        <v>14</v>
      </c>
      <c r="J22" s="7">
        <f t="shared" si="0"/>
        <v>0</v>
      </c>
      <c r="K22" s="22">
        <f t="shared" si="1"/>
        <v>0</v>
      </c>
    </row>
    <row r="23" spans="1:11" ht="39" customHeight="1">
      <c r="A23" s="7">
        <v>3</v>
      </c>
      <c r="B23" s="27" t="s">
        <v>189</v>
      </c>
      <c r="C23" s="27">
        <v>5</v>
      </c>
      <c r="D23" s="8" t="s">
        <v>193</v>
      </c>
      <c r="E23" s="28" t="s">
        <v>663</v>
      </c>
      <c r="F23" s="30" t="s">
        <v>672</v>
      </c>
      <c r="G23" s="29"/>
      <c r="H23" s="1"/>
      <c r="I23" s="7">
        <v>15</v>
      </c>
      <c r="J23" s="7">
        <f t="shared" si="0"/>
        <v>0</v>
      </c>
      <c r="K23" s="22">
        <f t="shared" si="1"/>
        <v>0</v>
      </c>
    </row>
    <row r="24" spans="1:11" ht="39" customHeight="1">
      <c r="A24" s="7">
        <v>4</v>
      </c>
      <c r="B24" s="27" t="s">
        <v>194</v>
      </c>
      <c r="C24" s="27">
        <v>1</v>
      </c>
      <c r="D24" s="8" t="s">
        <v>195</v>
      </c>
      <c r="E24" s="28" t="s">
        <v>14</v>
      </c>
      <c r="F24" s="30"/>
      <c r="G24" s="29"/>
      <c r="H24" s="1"/>
      <c r="I24" s="7">
        <v>16</v>
      </c>
      <c r="J24" s="7">
        <f t="shared" si="0"/>
        <v>0</v>
      </c>
      <c r="K24" s="22">
        <f t="shared" si="1"/>
        <v>0</v>
      </c>
    </row>
    <row r="25" spans="1:11" ht="39" customHeight="1">
      <c r="A25" s="7">
        <v>4</v>
      </c>
      <c r="B25" s="27" t="s">
        <v>194</v>
      </c>
      <c r="C25" s="27">
        <v>2</v>
      </c>
      <c r="D25" s="8" t="s">
        <v>196</v>
      </c>
      <c r="E25" s="28" t="s">
        <v>14</v>
      </c>
      <c r="F25" s="30"/>
      <c r="G25" s="29"/>
      <c r="H25" s="1"/>
      <c r="I25" s="7">
        <v>17</v>
      </c>
      <c r="J25" s="7">
        <f t="shared" si="0"/>
        <v>0</v>
      </c>
      <c r="K25" s="22">
        <f t="shared" si="1"/>
        <v>0</v>
      </c>
    </row>
    <row r="26" spans="1:11" ht="39" customHeight="1">
      <c r="A26" s="7">
        <v>4</v>
      </c>
      <c r="B26" s="27" t="s">
        <v>194</v>
      </c>
      <c r="C26" s="27">
        <v>3</v>
      </c>
      <c r="D26" s="8" t="s">
        <v>197</v>
      </c>
      <c r="E26" s="28" t="s">
        <v>14</v>
      </c>
      <c r="F26" s="30"/>
      <c r="G26" s="29"/>
      <c r="H26" s="1"/>
      <c r="I26" s="7">
        <v>18</v>
      </c>
      <c r="J26" s="7">
        <f t="shared" si="0"/>
        <v>0</v>
      </c>
      <c r="K26" s="22">
        <f t="shared" si="1"/>
        <v>0</v>
      </c>
    </row>
    <row r="27" spans="1:11" ht="39" customHeight="1">
      <c r="A27" s="7">
        <v>4</v>
      </c>
      <c r="B27" s="27" t="s">
        <v>194</v>
      </c>
      <c r="C27" s="27">
        <v>4</v>
      </c>
      <c r="D27" s="8" t="s">
        <v>198</v>
      </c>
      <c r="E27" s="28" t="s">
        <v>14</v>
      </c>
      <c r="F27" s="30"/>
      <c r="G27" s="29"/>
      <c r="H27" s="1"/>
      <c r="I27" s="7">
        <v>19</v>
      </c>
      <c r="J27" s="7">
        <f t="shared" si="0"/>
        <v>0</v>
      </c>
      <c r="K27" s="22">
        <f t="shared" si="1"/>
        <v>0</v>
      </c>
    </row>
    <row r="28" spans="1:11" ht="39" customHeight="1">
      <c r="A28" s="7">
        <v>4</v>
      </c>
      <c r="B28" s="27" t="s">
        <v>194</v>
      </c>
      <c r="C28" s="27">
        <v>5</v>
      </c>
      <c r="D28" s="8" t="s">
        <v>199</v>
      </c>
      <c r="E28" s="28" t="s">
        <v>14</v>
      </c>
      <c r="F28" s="30"/>
      <c r="G28" s="29"/>
      <c r="H28" s="1"/>
      <c r="I28" s="7">
        <v>20</v>
      </c>
      <c r="J28" s="7">
        <f t="shared" si="0"/>
        <v>0</v>
      </c>
      <c r="K28" s="22">
        <f t="shared" si="1"/>
        <v>0</v>
      </c>
    </row>
    <row r="29" spans="1:11" ht="39" customHeight="1">
      <c r="A29" s="7">
        <v>5</v>
      </c>
      <c r="B29" s="27" t="s">
        <v>200</v>
      </c>
      <c r="C29" s="27">
        <v>1</v>
      </c>
      <c r="D29" s="8" t="s">
        <v>201</v>
      </c>
      <c r="E29" s="28" t="s">
        <v>14</v>
      </c>
      <c r="F29" s="30"/>
      <c r="G29" s="29"/>
      <c r="H29" s="1"/>
      <c r="I29" s="7">
        <v>21</v>
      </c>
      <c r="J29" s="7">
        <f t="shared" si="0"/>
        <v>0</v>
      </c>
      <c r="K29" s="22">
        <f t="shared" si="1"/>
        <v>0</v>
      </c>
    </row>
    <row r="30" spans="1:11" ht="39" customHeight="1">
      <c r="A30" s="7">
        <v>5</v>
      </c>
      <c r="B30" s="27" t="s">
        <v>200</v>
      </c>
      <c r="C30" s="27">
        <v>2</v>
      </c>
      <c r="D30" s="8" t="s">
        <v>202</v>
      </c>
      <c r="E30" s="28" t="s">
        <v>14</v>
      </c>
      <c r="F30" s="30"/>
      <c r="G30" s="29"/>
      <c r="H30" s="1"/>
      <c r="I30" s="7">
        <v>22</v>
      </c>
      <c r="J30" s="7">
        <f t="shared" si="0"/>
        <v>0</v>
      </c>
      <c r="K30" s="22">
        <f t="shared" si="1"/>
        <v>0</v>
      </c>
    </row>
    <row r="31" spans="1:11" ht="39" customHeight="1">
      <c r="A31" s="7">
        <v>5</v>
      </c>
      <c r="B31" s="27" t="s">
        <v>200</v>
      </c>
      <c r="C31" s="27">
        <v>3</v>
      </c>
      <c r="D31" s="8" t="s">
        <v>203</v>
      </c>
      <c r="E31" s="28" t="s">
        <v>14</v>
      </c>
      <c r="F31" s="30"/>
      <c r="G31" s="29"/>
      <c r="H31" s="1"/>
      <c r="I31" s="7">
        <v>23</v>
      </c>
      <c r="J31" s="7">
        <f t="shared" si="0"/>
        <v>0</v>
      </c>
      <c r="K31" s="22">
        <f t="shared" si="1"/>
        <v>0</v>
      </c>
    </row>
    <row r="32" spans="1:11" ht="39" customHeight="1">
      <c r="A32" s="7">
        <v>5</v>
      </c>
      <c r="B32" s="27" t="s">
        <v>200</v>
      </c>
      <c r="C32" s="27">
        <v>4</v>
      </c>
      <c r="D32" s="8" t="s">
        <v>204</v>
      </c>
      <c r="E32" s="28" t="s">
        <v>14</v>
      </c>
      <c r="F32" s="30"/>
      <c r="G32" s="29"/>
      <c r="H32" s="1"/>
      <c r="I32" s="7">
        <v>24</v>
      </c>
      <c r="J32" s="7">
        <f t="shared" si="0"/>
        <v>0</v>
      </c>
      <c r="K32" s="22">
        <f t="shared" si="1"/>
        <v>0</v>
      </c>
    </row>
    <row r="33" spans="1:11" ht="39" customHeight="1">
      <c r="A33" s="7">
        <v>5</v>
      </c>
      <c r="B33" s="27" t="s">
        <v>200</v>
      </c>
      <c r="C33" s="27">
        <v>5</v>
      </c>
      <c r="D33" s="8" t="s">
        <v>205</v>
      </c>
      <c r="E33" s="28" t="s">
        <v>14</v>
      </c>
      <c r="F33" s="30"/>
      <c r="G33" s="29"/>
      <c r="H33" s="1"/>
      <c r="I33" s="7">
        <v>25</v>
      </c>
      <c r="J33" s="7">
        <f t="shared" si="0"/>
        <v>0</v>
      </c>
      <c r="K33" s="22">
        <f t="shared" si="1"/>
        <v>0</v>
      </c>
    </row>
    <row r="34" spans="1:11" ht="39" customHeight="1">
      <c r="A34" s="7">
        <v>6</v>
      </c>
      <c r="B34" s="27" t="s">
        <v>206</v>
      </c>
      <c r="C34" s="27">
        <v>1</v>
      </c>
      <c r="D34" s="8" t="s">
        <v>207</v>
      </c>
      <c r="E34" s="28" t="s">
        <v>14</v>
      </c>
      <c r="F34" s="30"/>
      <c r="G34" s="29"/>
      <c r="H34" s="1"/>
      <c r="I34" s="7">
        <v>26</v>
      </c>
      <c r="J34" s="7">
        <f t="shared" si="0"/>
        <v>0</v>
      </c>
      <c r="K34" s="22">
        <f t="shared" si="1"/>
        <v>0</v>
      </c>
    </row>
    <row r="35" spans="1:11" ht="39" customHeight="1">
      <c r="A35" s="7">
        <v>6</v>
      </c>
      <c r="B35" s="27" t="s">
        <v>206</v>
      </c>
      <c r="C35" s="27">
        <v>2</v>
      </c>
      <c r="D35" s="8" t="s">
        <v>208</v>
      </c>
      <c r="E35" s="28" t="s">
        <v>14</v>
      </c>
      <c r="F35" s="30"/>
      <c r="G35" s="29"/>
      <c r="H35" s="1"/>
      <c r="I35" s="7">
        <v>27</v>
      </c>
      <c r="J35" s="7">
        <f t="shared" si="0"/>
        <v>0</v>
      </c>
      <c r="K35" s="22">
        <f t="shared" si="1"/>
        <v>0</v>
      </c>
    </row>
    <row r="36" spans="1:11" ht="39" customHeight="1">
      <c r="A36" s="7">
        <v>6</v>
      </c>
      <c r="B36" s="27" t="s">
        <v>206</v>
      </c>
      <c r="C36" s="27">
        <v>3</v>
      </c>
      <c r="D36" s="8" t="s">
        <v>209</v>
      </c>
      <c r="E36" s="28" t="s">
        <v>14</v>
      </c>
      <c r="F36" s="30"/>
      <c r="G36" s="29"/>
      <c r="H36" s="1"/>
      <c r="I36" s="7">
        <v>28</v>
      </c>
      <c r="J36" s="7">
        <f t="shared" si="0"/>
        <v>0</v>
      </c>
      <c r="K36" s="22">
        <f t="shared" si="1"/>
        <v>0</v>
      </c>
    </row>
    <row r="37" spans="1:11" ht="39" customHeight="1">
      <c r="A37" s="7">
        <v>6</v>
      </c>
      <c r="B37" s="27" t="s">
        <v>206</v>
      </c>
      <c r="C37" s="27">
        <v>4</v>
      </c>
      <c r="D37" s="8" t="s">
        <v>210</v>
      </c>
      <c r="E37" s="28" t="s">
        <v>14</v>
      </c>
      <c r="F37" s="30"/>
      <c r="G37" s="29"/>
      <c r="H37" s="1"/>
      <c r="I37" s="7">
        <v>29</v>
      </c>
      <c r="J37" s="7">
        <f t="shared" si="0"/>
        <v>0</v>
      </c>
      <c r="K37" s="22">
        <f t="shared" si="1"/>
        <v>0</v>
      </c>
    </row>
    <row r="38" spans="1:11" ht="39" customHeight="1">
      <c r="A38" s="7">
        <v>6</v>
      </c>
      <c r="B38" s="27" t="s">
        <v>206</v>
      </c>
      <c r="C38" s="27">
        <v>5</v>
      </c>
      <c r="D38" s="8" t="s">
        <v>211</v>
      </c>
      <c r="E38" s="28" t="s">
        <v>14</v>
      </c>
      <c r="F38" s="30"/>
      <c r="G38" s="29"/>
      <c r="H38" s="1"/>
      <c r="I38" s="7">
        <v>30</v>
      </c>
      <c r="J38" s="7">
        <f t="shared" si="0"/>
        <v>0</v>
      </c>
      <c r="K38" s="22">
        <f t="shared" si="1"/>
        <v>0</v>
      </c>
    </row>
    <row r="39" spans="1:11" ht="39" customHeight="1">
      <c r="A39" s="7">
        <v>7</v>
      </c>
      <c r="B39" s="27" t="s">
        <v>212</v>
      </c>
      <c r="C39" s="27">
        <v>1</v>
      </c>
      <c r="D39" s="8" t="s">
        <v>213</v>
      </c>
      <c r="E39" s="28" t="s">
        <v>14</v>
      </c>
      <c r="F39" s="30"/>
      <c r="G39" s="29"/>
      <c r="H39" s="1"/>
      <c r="I39" s="7">
        <v>31</v>
      </c>
      <c r="J39" s="7">
        <f t="shared" si="0"/>
        <v>0</v>
      </c>
      <c r="K39" s="22">
        <f t="shared" si="1"/>
        <v>0</v>
      </c>
    </row>
    <row r="40" spans="1:11" ht="39" customHeight="1">
      <c r="A40" s="7">
        <v>7</v>
      </c>
      <c r="B40" s="27" t="s">
        <v>212</v>
      </c>
      <c r="C40" s="27">
        <v>2</v>
      </c>
      <c r="D40" s="8" t="s">
        <v>214</v>
      </c>
      <c r="E40" s="28" t="s">
        <v>14</v>
      </c>
      <c r="F40" s="30"/>
      <c r="G40" s="29"/>
      <c r="H40" s="1"/>
      <c r="I40" s="7">
        <v>32</v>
      </c>
      <c r="J40" s="7">
        <f t="shared" si="0"/>
        <v>0</v>
      </c>
      <c r="K40" s="22">
        <f t="shared" si="1"/>
        <v>0</v>
      </c>
    </row>
    <row r="41" spans="1:11" ht="39" customHeight="1">
      <c r="A41" s="7">
        <v>7</v>
      </c>
      <c r="B41" s="27" t="s">
        <v>212</v>
      </c>
      <c r="C41" s="27">
        <v>3</v>
      </c>
      <c r="D41" s="8" t="s">
        <v>215</v>
      </c>
      <c r="E41" s="28" t="s">
        <v>14</v>
      </c>
      <c r="F41" s="30"/>
      <c r="G41" s="29"/>
      <c r="H41" s="1"/>
      <c r="I41" s="7">
        <v>33</v>
      </c>
      <c r="J41" s="7">
        <f t="shared" si="0"/>
        <v>0</v>
      </c>
      <c r="K41" s="22">
        <f t="shared" si="1"/>
        <v>0</v>
      </c>
    </row>
    <row r="42" spans="1:11" ht="39" customHeight="1">
      <c r="A42" s="7">
        <v>7</v>
      </c>
      <c r="B42" s="27" t="s">
        <v>212</v>
      </c>
      <c r="C42" s="27">
        <v>4</v>
      </c>
      <c r="D42" s="8" t="s">
        <v>216</v>
      </c>
      <c r="E42" s="28" t="s">
        <v>14</v>
      </c>
      <c r="F42" s="30"/>
      <c r="G42" s="29"/>
      <c r="H42" s="1"/>
      <c r="I42" s="7">
        <v>34</v>
      </c>
      <c r="J42" s="7">
        <f t="shared" si="0"/>
        <v>0</v>
      </c>
      <c r="K42" s="22">
        <f t="shared" si="1"/>
        <v>0</v>
      </c>
    </row>
    <row r="43" spans="1:11" ht="39" customHeight="1">
      <c r="A43" s="7">
        <v>7</v>
      </c>
      <c r="B43" s="27" t="s">
        <v>212</v>
      </c>
      <c r="C43" s="27">
        <v>5</v>
      </c>
      <c r="D43" s="8" t="s">
        <v>217</v>
      </c>
      <c r="E43" s="28" t="s">
        <v>14</v>
      </c>
      <c r="F43" s="30"/>
      <c r="G43" s="29"/>
      <c r="H43" s="1"/>
      <c r="I43" s="7">
        <v>35</v>
      </c>
      <c r="J43" s="7">
        <f t="shared" si="0"/>
        <v>0</v>
      </c>
      <c r="K43" s="22">
        <f t="shared" si="1"/>
        <v>0</v>
      </c>
    </row>
    <row r="44" spans="1:11" ht="39" customHeight="1">
      <c r="A44" s="7">
        <v>8</v>
      </c>
      <c r="B44" s="27" t="s">
        <v>218</v>
      </c>
      <c r="C44" s="27">
        <v>1</v>
      </c>
      <c r="D44" s="8" t="s">
        <v>219</v>
      </c>
      <c r="E44" s="28" t="s">
        <v>14</v>
      </c>
      <c r="F44" s="30"/>
      <c r="G44" s="29"/>
      <c r="H44" s="1"/>
      <c r="I44" s="7">
        <v>36</v>
      </c>
      <c r="J44" s="7">
        <f t="shared" si="0"/>
        <v>0</v>
      </c>
      <c r="K44" s="22">
        <f t="shared" si="1"/>
        <v>0</v>
      </c>
    </row>
    <row r="45" spans="1:11" ht="39" customHeight="1">
      <c r="A45" s="7">
        <v>8</v>
      </c>
      <c r="B45" s="27" t="s">
        <v>218</v>
      </c>
      <c r="C45" s="27">
        <v>2</v>
      </c>
      <c r="D45" s="8" t="s">
        <v>220</v>
      </c>
      <c r="E45" s="28" t="s">
        <v>14</v>
      </c>
      <c r="F45" s="30"/>
      <c r="G45" s="29"/>
      <c r="H45" s="1"/>
      <c r="I45" s="1"/>
      <c r="J45" s="1"/>
      <c r="K45" s="1"/>
    </row>
    <row r="46" spans="1:11" ht="39" customHeight="1">
      <c r="A46" s="7">
        <v>8</v>
      </c>
      <c r="B46" s="27" t="s">
        <v>218</v>
      </c>
      <c r="C46" s="27">
        <v>3</v>
      </c>
      <c r="D46" s="8" t="s">
        <v>221</v>
      </c>
      <c r="E46" s="28" t="s">
        <v>14</v>
      </c>
      <c r="F46" s="30"/>
      <c r="G46" s="29"/>
      <c r="H46" s="1"/>
      <c r="I46" s="1"/>
      <c r="J46" s="1"/>
      <c r="K46" s="1"/>
    </row>
    <row r="47" spans="1:11" ht="39" customHeight="1">
      <c r="A47" s="7">
        <v>8</v>
      </c>
      <c r="B47" s="27" t="s">
        <v>218</v>
      </c>
      <c r="C47" s="27">
        <v>4</v>
      </c>
      <c r="D47" s="8" t="s">
        <v>222</v>
      </c>
      <c r="E47" s="28" t="s">
        <v>14</v>
      </c>
      <c r="F47" s="30"/>
      <c r="G47" s="29"/>
      <c r="H47" s="1"/>
      <c r="I47" s="45" t="s">
        <v>223</v>
      </c>
      <c r="J47" s="45" t="s">
        <v>223</v>
      </c>
      <c r="K47" s="45" t="s">
        <v>223</v>
      </c>
    </row>
    <row r="48" spans="1:11" ht="39" customHeight="1">
      <c r="A48" s="7">
        <v>8</v>
      </c>
      <c r="B48" s="27" t="s">
        <v>218</v>
      </c>
      <c r="C48" s="27">
        <v>5</v>
      </c>
      <c r="D48" s="8" t="s">
        <v>224</v>
      </c>
      <c r="E48" s="28" t="s">
        <v>14</v>
      </c>
      <c r="F48" s="30"/>
      <c r="G48" s="29"/>
      <c r="H48" s="1"/>
      <c r="I48" s="44" t="s">
        <v>225</v>
      </c>
      <c r="J48" s="44" t="s">
        <v>225</v>
      </c>
      <c r="K48" s="44" t="s">
        <v>225</v>
      </c>
    </row>
    <row r="49" spans="1:11" ht="39" customHeight="1">
      <c r="A49" s="7">
        <v>9</v>
      </c>
      <c r="B49" s="27" t="s">
        <v>226</v>
      </c>
      <c r="C49" s="27">
        <v>1</v>
      </c>
      <c r="D49" s="8" t="s">
        <v>227</v>
      </c>
      <c r="E49" s="28" t="s">
        <v>14</v>
      </c>
      <c r="F49" s="30"/>
      <c r="G49" s="29"/>
      <c r="H49" s="1"/>
      <c r="I49" s="44" t="s">
        <v>225</v>
      </c>
      <c r="J49" s="44" t="s">
        <v>225</v>
      </c>
      <c r="K49" s="44" t="s">
        <v>225</v>
      </c>
    </row>
    <row r="50" spans="1:11" ht="39" customHeight="1">
      <c r="A50" s="7">
        <v>9</v>
      </c>
      <c r="B50" s="27" t="s">
        <v>226</v>
      </c>
      <c r="C50" s="27">
        <v>2</v>
      </c>
      <c r="D50" s="8" t="s">
        <v>228</v>
      </c>
      <c r="E50" s="28" t="s">
        <v>14</v>
      </c>
      <c r="F50" s="30"/>
      <c r="G50" s="29"/>
      <c r="H50" s="1"/>
      <c r="I50" s="44" t="s">
        <v>225</v>
      </c>
      <c r="J50" s="44" t="s">
        <v>225</v>
      </c>
      <c r="K50" s="44" t="s">
        <v>225</v>
      </c>
    </row>
    <row r="51" spans="1:11" ht="39" customHeight="1">
      <c r="A51" s="7">
        <v>9</v>
      </c>
      <c r="B51" s="27" t="s">
        <v>226</v>
      </c>
      <c r="C51" s="27">
        <v>3</v>
      </c>
      <c r="D51" s="8" t="s">
        <v>229</v>
      </c>
      <c r="E51" s="28" t="s">
        <v>14</v>
      </c>
      <c r="F51" s="30"/>
      <c r="G51" s="29"/>
      <c r="H51" s="1"/>
      <c r="I51" s="1"/>
      <c r="J51" s="1"/>
      <c r="K51" s="1"/>
    </row>
    <row r="52" spans="1:11" ht="39" customHeight="1">
      <c r="A52" s="7">
        <v>9</v>
      </c>
      <c r="B52" s="27" t="s">
        <v>226</v>
      </c>
      <c r="C52" s="27">
        <v>4</v>
      </c>
      <c r="D52" s="8" t="s">
        <v>230</v>
      </c>
      <c r="E52" s="28" t="s">
        <v>14</v>
      </c>
      <c r="F52" s="30"/>
      <c r="G52" s="29"/>
      <c r="H52" s="1"/>
      <c r="I52" s="45" t="s">
        <v>231</v>
      </c>
      <c r="J52" s="45" t="s">
        <v>231</v>
      </c>
      <c r="K52" s="45" t="s">
        <v>231</v>
      </c>
    </row>
    <row r="53" spans="1:11" ht="39" customHeight="1">
      <c r="A53" s="7">
        <v>9</v>
      </c>
      <c r="B53" s="27" t="s">
        <v>226</v>
      </c>
      <c r="C53" s="27">
        <v>5</v>
      </c>
      <c r="D53" s="8" t="s">
        <v>232</v>
      </c>
      <c r="E53" s="28" t="s">
        <v>14</v>
      </c>
      <c r="F53" s="30"/>
      <c r="G53" s="29"/>
      <c r="H53" s="1"/>
      <c r="I53" s="44" t="s">
        <v>233</v>
      </c>
      <c r="J53" s="44" t="s">
        <v>233</v>
      </c>
      <c r="K53" s="44" t="s">
        <v>233</v>
      </c>
    </row>
    <row r="54" spans="1:11" ht="39" customHeight="1">
      <c r="A54" s="7">
        <v>10</v>
      </c>
      <c r="B54" s="27" t="s">
        <v>234</v>
      </c>
      <c r="C54" s="27">
        <v>1</v>
      </c>
      <c r="D54" s="8" t="s">
        <v>235</v>
      </c>
      <c r="E54" s="28" t="s">
        <v>14</v>
      </c>
      <c r="F54" s="30"/>
      <c r="G54" s="29"/>
      <c r="H54" s="1"/>
      <c r="I54" s="44" t="s">
        <v>233</v>
      </c>
      <c r="J54" s="44" t="s">
        <v>233</v>
      </c>
      <c r="K54" s="44" t="s">
        <v>233</v>
      </c>
    </row>
    <row r="55" spans="1:11" ht="39" customHeight="1">
      <c r="A55" s="7">
        <v>10</v>
      </c>
      <c r="B55" s="27" t="s">
        <v>234</v>
      </c>
      <c r="C55" s="27">
        <v>2</v>
      </c>
      <c r="D55" s="8" t="s">
        <v>236</v>
      </c>
      <c r="E55" s="28" t="s">
        <v>14</v>
      </c>
      <c r="F55" s="30"/>
      <c r="G55" s="29"/>
      <c r="H55" s="1"/>
      <c r="I55" s="44" t="s">
        <v>233</v>
      </c>
      <c r="J55" s="44" t="s">
        <v>233</v>
      </c>
      <c r="K55" s="44" t="s">
        <v>233</v>
      </c>
    </row>
    <row r="56" spans="1:11" ht="39" customHeight="1">
      <c r="A56" s="7">
        <v>10</v>
      </c>
      <c r="B56" s="27" t="s">
        <v>234</v>
      </c>
      <c r="C56" s="27">
        <v>3</v>
      </c>
      <c r="D56" s="8" t="s">
        <v>237</v>
      </c>
      <c r="E56" s="28" t="s">
        <v>14</v>
      </c>
      <c r="F56" s="30"/>
      <c r="G56" s="29"/>
      <c r="H56" s="1"/>
      <c r="I56" s="1"/>
      <c r="J56" s="1"/>
      <c r="K56" s="1"/>
    </row>
    <row r="57" spans="1:11" ht="39" customHeight="1">
      <c r="A57" s="7">
        <v>10</v>
      </c>
      <c r="B57" s="27" t="s">
        <v>234</v>
      </c>
      <c r="C57" s="27">
        <v>4</v>
      </c>
      <c r="D57" s="8" t="s">
        <v>238</v>
      </c>
      <c r="E57" s="28" t="s">
        <v>14</v>
      </c>
      <c r="F57" s="30"/>
      <c r="G57" s="29"/>
      <c r="H57" s="1"/>
      <c r="I57" s="45" t="s">
        <v>239</v>
      </c>
      <c r="J57" s="45" t="s">
        <v>239</v>
      </c>
      <c r="K57" s="45" t="s">
        <v>239</v>
      </c>
    </row>
    <row r="58" spans="1:11" ht="39" customHeight="1">
      <c r="A58" s="7">
        <v>10</v>
      </c>
      <c r="B58" s="27" t="s">
        <v>234</v>
      </c>
      <c r="C58" s="27">
        <v>5</v>
      </c>
      <c r="D58" s="8" t="s">
        <v>240</v>
      </c>
      <c r="E58" s="28" t="s">
        <v>14</v>
      </c>
      <c r="F58" s="30"/>
      <c r="G58" s="29"/>
      <c r="H58" s="1"/>
      <c r="I58" s="44" t="s">
        <v>241</v>
      </c>
      <c r="J58" s="44" t="s">
        <v>241</v>
      </c>
      <c r="K58" s="44" t="s">
        <v>241</v>
      </c>
    </row>
    <row r="59" spans="1:11" ht="39" customHeight="1">
      <c r="A59" s="7">
        <v>11</v>
      </c>
      <c r="B59" s="27" t="s">
        <v>242</v>
      </c>
      <c r="C59" s="27">
        <v>1</v>
      </c>
      <c r="D59" s="8" t="s">
        <v>243</v>
      </c>
      <c r="E59" s="28" t="s">
        <v>14</v>
      </c>
      <c r="F59" s="30"/>
      <c r="G59" s="29"/>
      <c r="H59" s="1"/>
      <c r="I59" s="44" t="s">
        <v>241</v>
      </c>
      <c r="J59" s="44" t="s">
        <v>241</v>
      </c>
      <c r="K59" s="44" t="s">
        <v>241</v>
      </c>
    </row>
    <row r="60" spans="1:11" ht="39" customHeight="1">
      <c r="A60" s="7">
        <v>11</v>
      </c>
      <c r="B60" s="27" t="s">
        <v>242</v>
      </c>
      <c r="C60" s="27">
        <v>2</v>
      </c>
      <c r="D60" s="8" t="s">
        <v>244</v>
      </c>
      <c r="E60" s="28" t="s">
        <v>14</v>
      </c>
      <c r="F60" s="30"/>
      <c r="G60" s="29"/>
      <c r="H60" s="1"/>
      <c r="I60" s="44" t="s">
        <v>241</v>
      </c>
      <c r="J60" s="44" t="s">
        <v>241</v>
      </c>
      <c r="K60" s="44" t="s">
        <v>241</v>
      </c>
    </row>
    <row r="61" spans="1:11" ht="39" customHeight="1">
      <c r="A61" s="7">
        <v>11</v>
      </c>
      <c r="B61" s="27" t="s">
        <v>242</v>
      </c>
      <c r="C61" s="27">
        <v>3</v>
      </c>
      <c r="D61" s="8" t="s">
        <v>245</v>
      </c>
      <c r="E61" s="28" t="s">
        <v>14</v>
      </c>
      <c r="F61" s="30"/>
      <c r="G61" s="29"/>
      <c r="H61" s="1"/>
      <c r="I61" s="44" t="s">
        <v>241</v>
      </c>
      <c r="J61" s="44" t="s">
        <v>241</v>
      </c>
      <c r="K61" s="44" t="s">
        <v>241</v>
      </c>
    </row>
    <row r="62" spans="1:11" ht="39" customHeight="1">
      <c r="A62" s="7">
        <v>11</v>
      </c>
      <c r="B62" s="27" t="s">
        <v>242</v>
      </c>
      <c r="C62" s="27">
        <v>4</v>
      </c>
      <c r="D62" s="8" t="s">
        <v>246</v>
      </c>
      <c r="E62" s="28" t="s">
        <v>14</v>
      </c>
      <c r="F62" s="30"/>
      <c r="G62" s="29"/>
      <c r="H62" s="1"/>
      <c r="I62" s="1"/>
      <c r="J62" s="1"/>
      <c r="K62" s="1"/>
    </row>
    <row r="63" spans="1:11" ht="39" customHeight="1">
      <c r="A63" s="7">
        <v>11</v>
      </c>
      <c r="B63" s="27" t="s">
        <v>242</v>
      </c>
      <c r="C63" s="27">
        <v>5</v>
      </c>
      <c r="D63" s="8" t="s">
        <v>247</v>
      </c>
      <c r="E63" s="28" t="s">
        <v>14</v>
      </c>
      <c r="F63" s="30"/>
      <c r="G63" s="29"/>
      <c r="H63" s="1"/>
      <c r="I63" s="45" t="s">
        <v>248</v>
      </c>
      <c r="J63" s="45" t="s">
        <v>248</v>
      </c>
      <c r="K63" s="45" t="s">
        <v>248</v>
      </c>
    </row>
    <row r="64" spans="1:11" ht="39" customHeight="1">
      <c r="A64" s="7">
        <v>12</v>
      </c>
      <c r="B64" s="27" t="s">
        <v>249</v>
      </c>
      <c r="C64" s="27">
        <v>1</v>
      </c>
      <c r="D64" s="8" t="s">
        <v>250</v>
      </c>
      <c r="E64" s="28" t="s">
        <v>14</v>
      </c>
      <c r="F64" s="30"/>
      <c r="G64" s="29"/>
      <c r="H64" s="1"/>
      <c r="I64" s="44" t="s">
        <v>251</v>
      </c>
      <c r="J64" s="44" t="s">
        <v>251</v>
      </c>
      <c r="K64" s="44" t="s">
        <v>251</v>
      </c>
    </row>
    <row r="65" spans="1:11" ht="39" customHeight="1">
      <c r="A65" s="7">
        <v>12</v>
      </c>
      <c r="B65" s="27" t="s">
        <v>249</v>
      </c>
      <c r="C65" s="27">
        <v>2</v>
      </c>
      <c r="D65" s="8" t="s">
        <v>252</v>
      </c>
      <c r="E65" s="28" t="s">
        <v>14</v>
      </c>
      <c r="F65" s="30"/>
      <c r="G65" s="29"/>
      <c r="H65" s="1"/>
      <c r="I65" s="44" t="s">
        <v>251</v>
      </c>
      <c r="J65" s="44" t="s">
        <v>251</v>
      </c>
      <c r="K65" s="44" t="s">
        <v>251</v>
      </c>
    </row>
    <row r="66" spans="1:11" ht="39" customHeight="1">
      <c r="A66" s="7">
        <v>12</v>
      </c>
      <c r="B66" s="27" t="s">
        <v>249</v>
      </c>
      <c r="C66" s="27">
        <v>3</v>
      </c>
      <c r="D66" s="8" t="s">
        <v>253</v>
      </c>
      <c r="E66" s="28" t="s">
        <v>14</v>
      </c>
      <c r="F66" s="30"/>
      <c r="G66" s="29"/>
      <c r="H66" s="1"/>
      <c r="I66" s="44" t="s">
        <v>251</v>
      </c>
      <c r="J66" s="44" t="s">
        <v>251</v>
      </c>
      <c r="K66" s="44" t="s">
        <v>251</v>
      </c>
    </row>
    <row r="67" spans="1:11" ht="39" customHeight="1">
      <c r="A67" s="7">
        <v>12</v>
      </c>
      <c r="B67" s="27" t="s">
        <v>249</v>
      </c>
      <c r="C67" s="27">
        <v>4</v>
      </c>
      <c r="D67" s="8" t="s">
        <v>254</v>
      </c>
      <c r="E67" s="28" t="s">
        <v>14</v>
      </c>
      <c r="F67" s="30"/>
      <c r="G67" s="29"/>
      <c r="H67" s="1"/>
      <c r="I67" s="44" t="s">
        <v>251</v>
      </c>
      <c r="J67" s="44" t="s">
        <v>251</v>
      </c>
      <c r="K67" s="44" t="s">
        <v>251</v>
      </c>
    </row>
    <row r="68" spans="1:11" ht="39" customHeight="1">
      <c r="A68" s="7">
        <v>12</v>
      </c>
      <c r="B68" s="27" t="s">
        <v>249</v>
      </c>
      <c r="C68" s="27">
        <v>5</v>
      </c>
      <c r="D68" s="8" t="s">
        <v>255</v>
      </c>
      <c r="E68" s="28" t="s">
        <v>14</v>
      </c>
      <c r="F68" s="30"/>
      <c r="G68" s="29"/>
      <c r="H68" s="1"/>
      <c r="I68" s="1"/>
      <c r="J68" s="1"/>
      <c r="K68" s="1"/>
    </row>
    <row r="69" spans="1:11" ht="39" customHeight="1">
      <c r="A69" s="7">
        <v>13</v>
      </c>
      <c r="B69" s="27" t="s">
        <v>256</v>
      </c>
      <c r="C69" s="27">
        <v>1</v>
      </c>
      <c r="D69" s="8" t="s">
        <v>257</v>
      </c>
      <c r="E69" s="28" t="s">
        <v>14</v>
      </c>
      <c r="F69" s="30"/>
      <c r="G69" s="29"/>
      <c r="H69" s="1"/>
      <c r="I69" s="45" t="s">
        <v>258</v>
      </c>
      <c r="J69" s="45" t="s">
        <v>258</v>
      </c>
      <c r="K69" s="45" t="s">
        <v>258</v>
      </c>
    </row>
    <row r="70" spans="1:11" ht="39" customHeight="1">
      <c r="A70" s="7">
        <v>13</v>
      </c>
      <c r="B70" s="27" t="s">
        <v>256</v>
      </c>
      <c r="C70" s="27">
        <v>2</v>
      </c>
      <c r="D70" s="8" t="s">
        <v>259</v>
      </c>
      <c r="E70" s="28" t="s">
        <v>14</v>
      </c>
      <c r="F70" s="30"/>
      <c r="G70" s="29"/>
      <c r="H70" s="1"/>
      <c r="I70" s="44" t="s">
        <v>260</v>
      </c>
      <c r="J70" s="44" t="s">
        <v>260</v>
      </c>
      <c r="K70" s="44" t="s">
        <v>260</v>
      </c>
    </row>
    <row r="71" spans="1:11" ht="39" customHeight="1">
      <c r="A71" s="7">
        <v>13</v>
      </c>
      <c r="B71" s="27" t="s">
        <v>256</v>
      </c>
      <c r="C71" s="27">
        <v>3</v>
      </c>
      <c r="D71" s="8" t="s">
        <v>261</v>
      </c>
      <c r="E71" s="28" t="s">
        <v>14</v>
      </c>
      <c r="F71" s="30"/>
      <c r="G71" s="29"/>
      <c r="H71" s="1"/>
      <c r="I71" s="44" t="s">
        <v>260</v>
      </c>
      <c r="J71" s="44" t="s">
        <v>260</v>
      </c>
      <c r="K71" s="44" t="s">
        <v>260</v>
      </c>
    </row>
    <row r="72" spans="1:11" ht="39" customHeight="1">
      <c r="A72" s="7">
        <v>13</v>
      </c>
      <c r="B72" s="27" t="s">
        <v>256</v>
      </c>
      <c r="C72" s="27">
        <v>4</v>
      </c>
      <c r="D72" s="8" t="s">
        <v>262</v>
      </c>
      <c r="E72" s="28" t="s">
        <v>14</v>
      </c>
      <c r="F72" s="30"/>
      <c r="G72" s="29"/>
      <c r="H72" s="1"/>
      <c r="I72" s="44" t="s">
        <v>260</v>
      </c>
      <c r="J72" s="44" t="s">
        <v>260</v>
      </c>
      <c r="K72" s="44" t="s">
        <v>260</v>
      </c>
    </row>
    <row r="73" spans="1:11" ht="39" customHeight="1">
      <c r="A73" s="7">
        <v>13</v>
      </c>
      <c r="B73" s="27" t="s">
        <v>256</v>
      </c>
      <c r="C73" s="27">
        <v>5</v>
      </c>
      <c r="D73" s="8" t="s">
        <v>263</v>
      </c>
      <c r="E73" s="28" t="s">
        <v>14</v>
      </c>
      <c r="F73" s="30"/>
      <c r="G73" s="29"/>
      <c r="H73" s="1"/>
      <c r="I73" s="44" t="s">
        <v>260</v>
      </c>
      <c r="J73" s="44" t="s">
        <v>260</v>
      </c>
      <c r="K73" s="44" t="s">
        <v>260</v>
      </c>
    </row>
    <row r="74" spans="1:11" ht="39" customHeight="1">
      <c r="A74" s="7">
        <v>14</v>
      </c>
      <c r="B74" s="27" t="s">
        <v>264</v>
      </c>
      <c r="C74" s="27">
        <v>1</v>
      </c>
      <c r="D74" s="8" t="s">
        <v>265</v>
      </c>
      <c r="E74" s="28" t="s">
        <v>14</v>
      </c>
      <c r="F74" s="30"/>
      <c r="G74" s="29"/>
      <c r="H74" s="1"/>
      <c r="I74" s="44" t="s">
        <v>266</v>
      </c>
      <c r="J74" s="44" t="s">
        <v>266</v>
      </c>
      <c r="K74" s="44" t="s">
        <v>266</v>
      </c>
    </row>
    <row r="75" spans="1:11" ht="39" customHeight="1">
      <c r="A75" s="7">
        <v>14</v>
      </c>
      <c r="B75" s="27" t="s">
        <v>264</v>
      </c>
      <c r="C75" s="27">
        <v>2</v>
      </c>
      <c r="D75" s="8" t="s">
        <v>267</v>
      </c>
      <c r="E75" s="28" t="s">
        <v>14</v>
      </c>
      <c r="F75" s="30"/>
      <c r="G75" s="29"/>
      <c r="H75" s="1"/>
      <c r="I75" s="44" t="s">
        <v>266</v>
      </c>
      <c r="J75" s="44" t="s">
        <v>266</v>
      </c>
      <c r="K75" s="44" t="s">
        <v>266</v>
      </c>
    </row>
    <row r="76" spans="1:11" ht="39" customHeight="1">
      <c r="A76" s="7">
        <v>14</v>
      </c>
      <c r="B76" s="27" t="s">
        <v>264</v>
      </c>
      <c r="C76" s="27">
        <v>3</v>
      </c>
      <c r="D76" s="8" t="s">
        <v>268</v>
      </c>
      <c r="E76" s="28" t="s">
        <v>14</v>
      </c>
      <c r="F76" s="30"/>
      <c r="G76" s="29"/>
      <c r="H76" s="1"/>
      <c r="I76" s="44" t="s">
        <v>266</v>
      </c>
      <c r="J76" s="44" t="s">
        <v>266</v>
      </c>
      <c r="K76" s="44" t="s">
        <v>266</v>
      </c>
    </row>
    <row r="77" spans="1:11" ht="39" customHeight="1">
      <c r="A77" s="7">
        <v>14</v>
      </c>
      <c r="B77" s="27" t="s">
        <v>264</v>
      </c>
      <c r="C77" s="27">
        <v>4</v>
      </c>
      <c r="D77" s="8" t="s">
        <v>269</v>
      </c>
      <c r="E77" s="28" t="s">
        <v>14</v>
      </c>
      <c r="F77" s="30"/>
      <c r="G77" s="29"/>
      <c r="H77" s="1"/>
      <c r="I77" s="44" t="s">
        <v>266</v>
      </c>
      <c r="J77" s="44" t="s">
        <v>266</v>
      </c>
      <c r="K77" s="44" t="s">
        <v>266</v>
      </c>
    </row>
    <row r="78" spans="1:11" ht="39" customHeight="1">
      <c r="A78" s="7">
        <v>14</v>
      </c>
      <c r="B78" s="27" t="s">
        <v>264</v>
      </c>
      <c r="C78" s="27">
        <v>5</v>
      </c>
      <c r="D78" s="8" t="s">
        <v>270</v>
      </c>
      <c r="E78" s="28" t="s">
        <v>14</v>
      </c>
      <c r="F78" s="30"/>
      <c r="G78" s="29"/>
      <c r="H78" s="1"/>
      <c r="I78" s="1"/>
      <c r="J78" s="1"/>
      <c r="K78" s="1"/>
    </row>
    <row r="79" spans="1:11" ht="39" customHeight="1">
      <c r="A79" s="7">
        <v>15</v>
      </c>
      <c r="B79" s="27" t="s">
        <v>271</v>
      </c>
      <c r="C79" s="27">
        <v>1</v>
      </c>
      <c r="D79" s="8" t="s">
        <v>272</v>
      </c>
      <c r="E79" s="28" t="s">
        <v>14</v>
      </c>
      <c r="F79" s="30"/>
      <c r="G79" s="29"/>
      <c r="H79" s="1"/>
      <c r="I79" s="1"/>
      <c r="J79" s="1"/>
      <c r="K79" s="1"/>
    </row>
    <row r="80" spans="1:11" ht="39" customHeight="1">
      <c r="A80" s="7">
        <v>15</v>
      </c>
      <c r="B80" s="27" t="s">
        <v>271</v>
      </c>
      <c r="C80" s="27">
        <v>2</v>
      </c>
      <c r="D80" s="8" t="s">
        <v>273</v>
      </c>
      <c r="E80" s="28" t="s">
        <v>14</v>
      </c>
      <c r="F80" s="30"/>
      <c r="G80" s="29"/>
      <c r="H80" s="1"/>
      <c r="I80" s="1"/>
      <c r="J80" s="1"/>
      <c r="K80" s="1"/>
    </row>
    <row r="81" spans="1:11" ht="39" customHeight="1">
      <c r="A81" s="7">
        <v>15</v>
      </c>
      <c r="B81" s="27" t="s">
        <v>271</v>
      </c>
      <c r="C81" s="27">
        <v>3</v>
      </c>
      <c r="D81" s="8" t="s">
        <v>274</v>
      </c>
      <c r="E81" s="28" t="s">
        <v>14</v>
      </c>
      <c r="F81" s="30"/>
      <c r="G81" s="29"/>
      <c r="H81" s="1"/>
      <c r="I81" s="1"/>
      <c r="J81" s="1"/>
      <c r="K81" s="1"/>
    </row>
    <row r="82" spans="1:11" ht="39" customHeight="1">
      <c r="A82" s="7">
        <v>15</v>
      </c>
      <c r="B82" s="27" t="s">
        <v>271</v>
      </c>
      <c r="C82" s="27">
        <v>4</v>
      </c>
      <c r="D82" s="8" t="s">
        <v>275</v>
      </c>
      <c r="E82" s="28" t="s">
        <v>14</v>
      </c>
      <c r="F82" s="30"/>
      <c r="G82" s="29"/>
      <c r="H82" s="1"/>
      <c r="I82" s="1"/>
      <c r="J82" s="1"/>
      <c r="K82" s="1"/>
    </row>
    <row r="83" spans="1:11" ht="39" customHeight="1">
      <c r="A83" s="7">
        <v>15</v>
      </c>
      <c r="B83" s="27" t="s">
        <v>271</v>
      </c>
      <c r="C83" s="27">
        <v>5</v>
      </c>
      <c r="D83" s="8" t="s">
        <v>276</v>
      </c>
      <c r="E83" s="28" t="s">
        <v>14</v>
      </c>
      <c r="F83" s="30"/>
      <c r="G83" s="29"/>
      <c r="H83" s="1"/>
      <c r="I83" s="1"/>
      <c r="J83" s="1"/>
      <c r="K83" s="1"/>
    </row>
    <row r="84" spans="1:11" ht="39" customHeight="1">
      <c r="A84" s="7">
        <v>16</v>
      </c>
      <c r="B84" s="27" t="s">
        <v>277</v>
      </c>
      <c r="C84" s="27">
        <v>1</v>
      </c>
      <c r="D84" s="8" t="s">
        <v>278</v>
      </c>
      <c r="E84" s="28" t="s">
        <v>14</v>
      </c>
      <c r="F84" s="30"/>
      <c r="G84" s="29"/>
      <c r="H84" s="1"/>
      <c r="I84" s="1"/>
      <c r="J84" s="1"/>
      <c r="K84" s="1"/>
    </row>
    <row r="85" spans="1:11" ht="39" customHeight="1">
      <c r="A85" s="7">
        <v>16</v>
      </c>
      <c r="B85" s="27" t="s">
        <v>277</v>
      </c>
      <c r="C85" s="27">
        <v>2</v>
      </c>
      <c r="D85" s="8" t="s">
        <v>279</v>
      </c>
      <c r="E85" s="28" t="s">
        <v>14</v>
      </c>
      <c r="F85" s="30"/>
      <c r="G85" s="29"/>
      <c r="H85" s="1"/>
      <c r="I85" s="1"/>
      <c r="J85" s="1"/>
      <c r="K85" s="1"/>
    </row>
    <row r="86" spans="1:11" ht="39" customHeight="1">
      <c r="A86" s="7">
        <v>16</v>
      </c>
      <c r="B86" s="27" t="s">
        <v>277</v>
      </c>
      <c r="C86" s="27">
        <v>3</v>
      </c>
      <c r="D86" s="8" t="s">
        <v>280</v>
      </c>
      <c r="E86" s="28" t="s">
        <v>14</v>
      </c>
      <c r="F86" s="30"/>
      <c r="G86" s="29"/>
      <c r="H86" s="1"/>
      <c r="I86" s="1"/>
      <c r="J86" s="1"/>
      <c r="K86" s="1"/>
    </row>
    <row r="87" spans="1:11" ht="39" customHeight="1">
      <c r="A87" s="7">
        <v>16</v>
      </c>
      <c r="B87" s="27" t="s">
        <v>277</v>
      </c>
      <c r="C87" s="27">
        <v>4</v>
      </c>
      <c r="D87" s="8" t="s">
        <v>281</v>
      </c>
      <c r="E87" s="28" t="s">
        <v>14</v>
      </c>
      <c r="F87" s="30"/>
      <c r="G87" s="29"/>
      <c r="H87" s="1"/>
      <c r="I87" s="1"/>
      <c r="J87" s="1"/>
      <c r="K87" s="1"/>
    </row>
    <row r="88" spans="1:11" ht="39" customHeight="1">
      <c r="A88" s="7">
        <v>16</v>
      </c>
      <c r="B88" s="27" t="s">
        <v>277</v>
      </c>
      <c r="C88" s="27">
        <v>5</v>
      </c>
      <c r="D88" s="8" t="s">
        <v>282</v>
      </c>
      <c r="E88" s="28" t="s">
        <v>14</v>
      </c>
      <c r="F88" s="30"/>
      <c r="G88" s="29"/>
      <c r="H88" s="1"/>
      <c r="I88" s="1"/>
      <c r="J88" s="1"/>
      <c r="K88" s="1"/>
    </row>
    <row r="89" spans="1:11" ht="39" customHeight="1">
      <c r="A89" s="7">
        <v>17</v>
      </c>
      <c r="B89" s="27" t="s">
        <v>283</v>
      </c>
      <c r="C89" s="27">
        <v>1</v>
      </c>
      <c r="D89" s="8" t="s">
        <v>284</v>
      </c>
      <c r="E89" s="28" t="s">
        <v>14</v>
      </c>
      <c r="F89" s="30"/>
      <c r="G89" s="29"/>
      <c r="H89" s="1"/>
      <c r="I89" s="1"/>
      <c r="J89" s="1"/>
      <c r="K89" s="1"/>
    </row>
    <row r="90" spans="1:11" ht="39" customHeight="1">
      <c r="A90" s="7">
        <v>17</v>
      </c>
      <c r="B90" s="27" t="s">
        <v>283</v>
      </c>
      <c r="C90" s="27">
        <v>2</v>
      </c>
      <c r="D90" s="8" t="s">
        <v>285</v>
      </c>
      <c r="E90" s="28" t="s">
        <v>14</v>
      </c>
      <c r="F90" s="30"/>
      <c r="G90" s="29"/>
      <c r="H90" s="1"/>
      <c r="I90" s="1"/>
      <c r="J90" s="1"/>
      <c r="K90" s="1"/>
    </row>
    <row r="91" spans="1:11" ht="39" customHeight="1">
      <c r="A91" s="7">
        <v>17</v>
      </c>
      <c r="B91" s="27" t="s">
        <v>283</v>
      </c>
      <c r="C91" s="27">
        <v>3</v>
      </c>
      <c r="D91" s="8" t="s">
        <v>286</v>
      </c>
      <c r="E91" s="28" t="s">
        <v>14</v>
      </c>
      <c r="F91" s="30"/>
      <c r="G91" s="29"/>
      <c r="H91" s="1"/>
      <c r="I91" s="1"/>
      <c r="J91" s="1"/>
      <c r="K91" s="1"/>
    </row>
    <row r="92" spans="1:11" ht="39" customHeight="1">
      <c r="A92" s="7">
        <v>17</v>
      </c>
      <c r="B92" s="27" t="s">
        <v>283</v>
      </c>
      <c r="C92" s="27">
        <v>4</v>
      </c>
      <c r="D92" s="8" t="s">
        <v>287</v>
      </c>
      <c r="E92" s="28" t="s">
        <v>14</v>
      </c>
      <c r="F92" s="30"/>
      <c r="G92" s="29"/>
      <c r="H92" s="1"/>
      <c r="I92" s="1"/>
      <c r="J92" s="1"/>
      <c r="K92" s="1"/>
    </row>
    <row r="93" spans="1:11" ht="39" customHeight="1">
      <c r="A93" s="7">
        <v>17</v>
      </c>
      <c r="B93" s="27" t="s">
        <v>283</v>
      </c>
      <c r="C93" s="27">
        <v>5</v>
      </c>
      <c r="D93" s="8" t="s">
        <v>288</v>
      </c>
      <c r="E93" s="28" t="s">
        <v>14</v>
      </c>
      <c r="F93" s="30"/>
      <c r="G93" s="29"/>
      <c r="H93" s="1"/>
      <c r="I93" s="1"/>
      <c r="J93" s="1"/>
      <c r="K93" s="1"/>
    </row>
    <row r="94" spans="1:11" ht="39" customHeight="1">
      <c r="A94" s="7">
        <v>18</v>
      </c>
      <c r="B94" s="27" t="s">
        <v>289</v>
      </c>
      <c r="C94" s="27">
        <v>1</v>
      </c>
      <c r="D94" s="8" t="s">
        <v>290</v>
      </c>
      <c r="E94" s="28" t="s">
        <v>14</v>
      </c>
      <c r="F94" s="30"/>
      <c r="G94" s="29"/>
      <c r="H94" s="1"/>
      <c r="I94" s="1"/>
      <c r="J94" s="1"/>
      <c r="K94" s="1"/>
    </row>
    <row r="95" spans="1:11" ht="39" customHeight="1">
      <c r="A95" s="7">
        <v>18</v>
      </c>
      <c r="B95" s="27" t="s">
        <v>289</v>
      </c>
      <c r="C95" s="27">
        <v>2</v>
      </c>
      <c r="D95" s="8" t="s">
        <v>291</v>
      </c>
      <c r="E95" s="28" t="s">
        <v>14</v>
      </c>
      <c r="F95" s="30"/>
      <c r="G95" s="29"/>
      <c r="H95" s="1"/>
      <c r="I95" s="1"/>
      <c r="J95" s="1"/>
      <c r="K95" s="1"/>
    </row>
    <row r="96" spans="1:11" ht="39" customHeight="1">
      <c r="A96" s="7">
        <v>18</v>
      </c>
      <c r="B96" s="27" t="s">
        <v>289</v>
      </c>
      <c r="C96" s="27">
        <v>3</v>
      </c>
      <c r="D96" s="8" t="s">
        <v>292</v>
      </c>
      <c r="E96" s="28" t="s">
        <v>14</v>
      </c>
      <c r="F96" s="30"/>
      <c r="G96" s="29"/>
      <c r="H96" s="1"/>
      <c r="I96" s="1"/>
      <c r="J96" s="1"/>
      <c r="K96" s="1"/>
    </row>
    <row r="97" spans="1:11" ht="39" customHeight="1">
      <c r="A97" s="7">
        <v>18</v>
      </c>
      <c r="B97" s="27" t="s">
        <v>289</v>
      </c>
      <c r="C97" s="27">
        <v>4</v>
      </c>
      <c r="D97" s="8" t="s">
        <v>293</v>
      </c>
      <c r="E97" s="28" t="s">
        <v>14</v>
      </c>
      <c r="F97" s="30"/>
      <c r="G97" s="29"/>
      <c r="H97" s="1"/>
      <c r="I97" s="1"/>
      <c r="J97" s="1"/>
      <c r="K97" s="1"/>
    </row>
    <row r="98" spans="1:11" ht="39" customHeight="1">
      <c r="A98" s="7">
        <v>18</v>
      </c>
      <c r="B98" s="27" t="s">
        <v>289</v>
      </c>
      <c r="C98" s="27">
        <v>5</v>
      </c>
      <c r="D98" s="8" t="s">
        <v>294</v>
      </c>
      <c r="E98" s="28" t="s">
        <v>14</v>
      </c>
      <c r="F98" s="30"/>
      <c r="G98" s="29"/>
      <c r="H98" s="1"/>
      <c r="I98" s="1"/>
      <c r="J98" s="1"/>
      <c r="K98" s="1"/>
    </row>
    <row r="99" spans="1:11" ht="39" customHeight="1">
      <c r="A99" s="7">
        <v>19</v>
      </c>
      <c r="B99" s="27" t="s">
        <v>295</v>
      </c>
      <c r="C99" s="27">
        <v>1</v>
      </c>
      <c r="D99" s="8" t="s">
        <v>296</v>
      </c>
      <c r="E99" s="28" t="s">
        <v>14</v>
      </c>
      <c r="F99" s="30"/>
      <c r="G99" s="29"/>
      <c r="H99" s="1"/>
      <c r="I99" s="1"/>
      <c r="J99" s="1"/>
      <c r="K99" s="1"/>
    </row>
    <row r="100" spans="1:11" ht="39" customHeight="1">
      <c r="A100" s="7">
        <v>19</v>
      </c>
      <c r="B100" s="27" t="s">
        <v>295</v>
      </c>
      <c r="C100" s="27">
        <v>2</v>
      </c>
      <c r="D100" s="8" t="s">
        <v>297</v>
      </c>
      <c r="E100" s="28" t="s">
        <v>14</v>
      </c>
      <c r="F100" s="30"/>
      <c r="G100" s="29"/>
      <c r="H100" s="1"/>
      <c r="I100" s="1"/>
      <c r="J100" s="1"/>
      <c r="K100" s="1"/>
    </row>
    <row r="101" spans="1:11" ht="39" customHeight="1">
      <c r="A101" s="7">
        <v>19</v>
      </c>
      <c r="B101" s="27" t="s">
        <v>295</v>
      </c>
      <c r="C101" s="27">
        <v>3</v>
      </c>
      <c r="D101" s="8" t="s">
        <v>298</v>
      </c>
      <c r="E101" s="28" t="s">
        <v>14</v>
      </c>
      <c r="F101" s="30"/>
      <c r="G101" s="29"/>
      <c r="H101" s="1"/>
      <c r="I101" s="1"/>
      <c r="J101" s="1"/>
      <c r="K101" s="1"/>
    </row>
    <row r="102" spans="1:11" ht="39" customHeight="1">
      <c r="A102" s="7">
        <v>19</v>
      </c>
      <c r="B102" s="27" t="s">
        <v>295</v>
      </c>
      <c r="C102" s="27">
        <v>4</v>
      </c>
      <c r="D102" s="8" t="s">
        <v>299</v>
      </c>
      <c r="E102" s="28" t="s">
        <v>14</v>
      </c>
      <c r="F102" s="30"/>
      <c r="G102" s="29"/>
      <c r="H102" s="1"/>
      <c r="I102" s="1"/>
      <c r="J102" s="1"/>
      <c r="K102" s="1"/>
    </row>
    <row r="103" spans="1:11" ht="39" customHeight="1">
      <c r="A103" s="7">
        <v>19</v>
      </c>
      <c r="B103" s="27" t="s">
        <v>295</v>
      </c>
      <c r="C103" s="27">
        <v>5</v>
      </c>
      <c r="D103" s="8" t="s">
        <v>300</v>
      </c>
      <c r="E103" s="28" t="s">
        <v>14</v>
      </c>
      <c r="F103" s="30"/>
      <c r="G103" s="29"/>
      <c r="H103" s="1"/>
      <c r="I103" s="1"/>
      <c r="J103" s="1"/>
      <c r="K103" s="1"/>
    </row>
    <row r="104" spans="1:11" ht="39" customHeight="1">
      <c r="A104" s="7">
        <v>20</v>
      </c>
      <c r="B104" s="27" t="s">
        <v>301</v>
      </c>
      <c r="C104" s="27">
        <v>1</v>
      </c>
      <c r="D104" s="8" t="s">
        <v>302</v>
      </c>
      <c r="E104" s="28" t="s">
        <v>14</v>
      </c>
      <c r="F104" s="30"/>
      <c r="G104" s="29"/>
      <c r="H104" s="1"/>
      <c r="I104" s="1"/>
      <c r="J104" s="1"/>
      <c r="K104" s="1"/>
    </row>
    <row r="105" spans="1:11" ht="39" customHeight="1">
      <c r="A105" s="7">
        <v>20</v>
      </c>
      <c r="B105" s="27" t="s">
        <v>301</v>
      </c>
      <c r="C105" s="27">
        <v>2</v>
      </c>
      <c r="D105" s="8" t="s">
        <v>303</v>
      </c>
      <c r="E105" s="28" t="s">
        <v>14</v>
      </c>
      <c r="F105" s="30"/>
      <c r="G105" s="29"/>
      <c r="H105" s="1"/>
      <c r="I105" s="1"/>
      <c r="J105" s="1"/>
      <c r="K105" s="1"/>
    </row>
    <row r="106" spans="1:11" ht="39" customHeight="1">
      <c r="A106" s="7">
        <v>20</v>
      </c>
      <c r="B106" s="27" t="s">
        <v>301</v>
      </c>
      <c r="C106" s="27">
        <v>3</v>
      </c>
      <c r="D106" s="8" t="s">
        <v>304</v>
      </c>
      <c r="E106" s="28" t="s">
        <v>14</v>
      </c>
      <c r="F106" s="30"/>
      <c r="G106" s="29"/>
      <c r="H106" s="1"/>
      <c r="I106" s="1"/>
      <c r="J106" s="1"/>
      <c r="K106" s="1"/>
    </row>
    <row r="107" spans="1:11" ht="39" customHeight="1">
      <c r="A107" s="7">
        <v>20</v>
      </c>
      <c r="B107" s="27" t="s">
        <v>301</v>
      </c>
      <c r="C107" s="27">
        <v>4</v>
      </c>
      <c r="D107" s="8" t="s">
        <v>305</v>
      </c>
      <c r="E107" s="28" t="s">
        <v>14</v>
      </c>
      <c r="F107" s="30"/>
      <c r="G107" s="29"/>
      <c r="H107" s="1"/>
      <c r="I107" s="1"/>
      <c r="J107" s="1"/>
      <c r="K107" s="1"/>
    </row>
    <row r="108" spans="1:11" ht="39" customHeight="1">
      <c r="A108" s="7">
        <v>20</v>
      </c>
      <c r="B108" s="27" t="s">
        <v>301</v>
      </c>
      <c r="C108" s="27">
        <v>5</v>
      </c>
      <c r="D108" s="8" t="s">
        <v>306</v>
      </c>
      <c r="E108" s="28" t="s">
        <v>14</v>
      </c>
      <c r="F108" s="30"/>
      <c r="G108" s="29"/>
      <c r="H108" s="1"/>
      <c r="I108" s="1"/>
      <c r="J108" s="1"/>
      <c r="K108" s="1"/>
    </row>
    <row r="109" spans="1:11" ht="39" customHeight="1">
      <c r="A109" s="7">
        <v>21</v>
      </c>
      <c r="B109" s="27" t="s">
        <v>307</v>
      </c>
      <c r="C109" s="27">
        <v>1</v>
      </c>
      <c r="D109" s="8" t="s">
        <v>308</v>
      </c>
      <c r="E109" s="28" t="s">
        <v>14</v>
      </c>
      <c r="F109" s="30"/>
      <c r="G109" s="29"/>
      <c r="H109" s="1"/>
      <c r="I109" s="1"/>
      <c r="J109" s="1"/>
      <c r="K109" s="1"/>
    </row>
    <row r="110" spans="1:11" ht="39" customHeight="1">
      <c r="A110" s="7">
        <v>21</v>
      </c>
      <c r="B110" s="27" t="s">
        <v>307</v>
      </c>
      <c r="C110" s="27">
        <v>2</v>
      </c>
      <c r="D110" s="8" t="s">
        <v>309</v>
      </c>
      <c r="E110" s="28" t="s">
        <v>14</v>
      </c>
      <c r="F110" s="30"/>
      <c r="G110" s="29"/>
      <c r="H110" s="1"/>
      <c r="I110" s="1"/>
      <c r="J110" s="1"/>
      <c r="K110" s="1"/>
    </row>
    <row r="111" spans="1:11" ht="39" customHeight="1">
      <c r="A111" s="7">
        <v>21</v>
      </c>
      <c r="B111" s="27" t="s">
        <v>307</v>
      </c>
      <c r="C111" s="27">
        <v>3</v>
      </c>
      <c r="D111" s="8" t="s">
        <v>310</v>
      </c>
      <c r="E111" s="28" t="s">
        <v>14</v>
      </c>
      <c r="F111" s="30"/>
      <c r="G111" s="29"/>
      <c r="H111" s="1"/>
      <c r="I111" s="1"/>
      <c r="J111" s="1"/>
      <c r="K111" s="1"/>
    </row>
    <row r="112" spans="1:11" ht="39" customHeight="1">
      <c r="A112" s="7">
        <v>21</v>
      </c>
      <c r="B112" s="27" t="s">
        <v>307</v>
      </c>
      <c r="C112" s="27">
        <v>4</v>
      </c>
      <c r="D112" s="8" t="s">
        <v>311</v>
      </c>
      <c r="E112" s="28" t="s">
        <v>14</v>
      </c>
      <c r="F112" s="30"/>
      <c r="G112" s="29"/>
      <c r="H112" s="1"/>
      <c r="I112" s="1"/>
      <c r="J112" s="1"/>
      <c r="K112" s="1"/>
    </row>
    <row r="113" spans="1:11" ht="39" customHeight="1">
      <c r="A113" s="7">
        <v>21</v>
      </c>
      <c r="B113" s="27" t="s">
        <v>307</v>
      </c>
      <c r="C113" s="27">
        <v>5</v>
      </c>
      <c r="D113" s="8" t="s">
        <v>312</v>
      </c>
      <c r="E113" s="28" t="s">
        <v>14</v>
      </c>
      <c r="F113" s="30"/>
      <c r="G113" s="29"/>
      <c r="H113" s="1"/>
      <c r="I113" s="1"/>
      <c r="J113" s="1"/>
      <c r="K113" s="1"/>
    </row>
    <row r="114" spans="1:11" ht="39" customHeight="1">
      <c r="A114" s="7">
        <v>22</v>
      </c>
      <c r="B114" s="27" t="s">
        <v>313</v>
      </c>
      <c r="C114" s="27">
        <v>1</v>
      </c>
      <c r="D114" s="8" t="s">
        <v>314</v>
      </c>
      <c r="E114" s="28" t="s">
        <v>14</v>
      </c>
      <c r="F114" s="30"/>
      <c r="G114" s="29"/>
      <c r="H114" s="1"/>
      <c r="I114" s="1"/>
      <c r="J114" s="1"/>
      <c r="K114" s="1"/>
    </row>
    <row r="115" spans="1:11" ht="39" customHeight="1">
      <c r="A115" s="7">
        <v>22</v>
      </c>
      <c r="B115" s="27" t="s">
        <v>313</v>
      </c>
      <c r="C115" s="27">
        <v>2</v>
      </c>
      <c r="D115" s="8" t="s">
        <v>315</v>
      </c>
      <c r="E115" s="28" t="s">
        <v>14</v>
      </c>
      <c r="F115" s="30"/>
      <c r="G115" s="29"/>
      <c r="H115" s="1"/>
      <c r="I115" s="1"/>
      <c r="J115" s="1"/>
      <c r="K115" s="1"/>
    </row>
    <row r="116" spans="1:11" ht="39" customHeight="1">
      <c r="A116" s="7">
        <v>22</v>
      </c>
      <c r="B116" s="27" t="s">
        <v>313</v>
      </c>
      <c r="C116" s="27">
        <v>3</v>
      </c>
      <c r="D116" s="8" t="s">
        <v>316</v>
      </c>
      <c r="E116" s="28" t="s">
        <v>14</v>
      </c>
      <c r="F116" s="30"/>
      <c r="G116" s="29"/>
      <c r="H116" s="1"/>
      <c r="I116" s="1"/>
      <c r="J116" s="1"/>
      <c r="K116" s="1"/>
    </row>
    <row r="117" spans="1:11" ht="39" customHeight="1">
      <c r="A117" s="7">
        <v>22</v>
      </c>
      <c r="B117" s="27" t="s">
        <v>313</v>
      </c>
      <c r="C117" s="27">
        <v>4</v>
      </c>
      <c r="D117" s="8" t="s">
        <v>317</v>
      </c>
      <c r="E117" s="28" t="s">
        <v>14</v>
      </c>
      <c r="F117" s="30"/>
      <c r="G117" s="29"/>
      <c r="H117" s="1"/>
      <c r="I117" s="1"/>
      <c r="J117" s="1"/>
      <c r="K117" s="1"/>
    </row>
    <row r="118" spans="1:11" ht="39" customHeight="1">
      <c r="A118" s="7">
        <v>22</v>
      </c>
      <c r="B118" s="27" t="s">
        <v>313</v>
      </c>
      <c r="C118" s="27">
        <v>5</v>
      </c>
      <c r="D118" s="8" t="s">
        <v>318</v>
      </c>
      <c r="E118" s="28" t="s">
        <v>14</v>
      </c>
      <c r="F118" s="30"/>
      <c r="G118" s="29"/>
      <c r="H118" s="1"/>
      <c r="I118" s="1"/>
      <c r="J118" s="1"/>
      <c r="K118" s="1"/>
    </row>
    <row r="119" spans="1:11" ht="39" customHeight="1">
      <c r="A119" s="7">
        <v>23</v>
      </c>
      <c r="B119" s="27" t="s">
        <v>319</v>
      </c>
      <c r="C119" s="27">
        <v>1</v>
      </c>
      <c r="D119" s="8" t="s">
        <v>320</v>
      </c>
      <c r="E119" s="28" t="s">
        <v>14</v>
      </c>
      <c r="F119" s="30"/>
      <c r="G119" s="29"/>
      <c r="H119" s="1"/>
      <c r="I119" s="1"/>
      <c r="J119" s="1"/>
      <c r="K119" s="1"/>
    </row>
    <row r="120" spans="1:11" ht="39" customHeight="1">
      <c r="A120" s="7">
        <v>23</v>
      </c>
      <c r="B120" s="27" t="s">
        <v>319</v>
      </c>
      <c r="C120" s="27">
        <v>2</v>
      </c>
      <c r="D120" s="8" t="s">
        <v>321</v>
      </c>
      <c r="E120" s="28" t="s">
        <v>14</v>
      </c>
      <c r="F120" s="30"/>
      <c r="G120" s="29"/>
      <c r="H120" s="1"/>
      <c r="I120" s="1"/>
      <c r="J120" s="1"/>
      <c r="K120" s="1"/>
    </row>
    <row r="121" spans="1:11" ht="39" customHeight="1">
      <c r="A121" s="7">
        <v>23</v>
      </c>
      <c r="B121" s="27" t="s">
        <v>319</v>
      </c>
      <c r="C121" s="27">
        <v>3</v>
      </c>
      <c r="D121" s="8" t="s">
        <v>322</v>
      </c>
      <c r="E121" s="28" t="s">
        <v>14</v>
      </c>
      <c r="F121" s="30"/>
      <c r="G121" s="29"/>
      <c r="H121" s="1"/>
      <c r="I121" s="1"/>
      <c r="J121" s="1"/>
      <c r="K121" s="1"/>
    </row>
    <row r="122" spans="1:11" ht="39" customHeight="1">
      <c r="A122" s="7">
        <v>23</v>
      </c>
      <c r="B122" s="27" t="s">
        <v>319</v>
      </c>
      <c r="C122" s="27">
        <v>4</v>
      </c>
      <c r="D122" s="8" t="s">
        <v>323</v>
      </c>
      <c r="E122" s="28" t="s">
        <v>14</v>
      </c>
      <c r="F122" s="30"/>
      <c r="G122" s="29"/>
      <c r="H122" s="1"/>
      <c r="I122" s="1"/>
      <c r="J122" s="1"/>
      <c r="K122" s="1"/>
    </row>
    <row r="123" spans="1:11" ht="39" customHeight="1">
      <c r="A123" s="7">
        <v>23</v>
      </c>
      <c r="B123" s="27" t="s">
        <v>319</v>
      </c>
      <c r="C123" s="27">
        <v>5</v>
      </c>
      <c r="D123" s="8" t="s">
        <v>324</v>
      </c>
      <c r="E123" s="28" t="s">
        <v>14</v>
      </c>
      <c r="F123" s="30"/>
      <c r="G123" s="29"/>
      <c r="H123" s="1"/>
      <c r="I123" s="1"/>
      <c r="J123" s="1"/>
      <c r="K123" s="1"/>
    </row>
    <row r="124" spans="1:11" ht="39" customHeight="1">
      <c r="A124" s="7">
        <v>24</v>
      </c>
      <c r="B124" s="27" t="s">
        <v>325</v>
      </c>
      <c r="C124" s="27">
        <v>1</v>
      </c>
      <c r="D124" s="8" t="s">
        <v>326</v>
      </c>
      <c r="E124" s="28" t="s">
        <v>14</v>
      </c>
      <c r="F124" s="30"/>
      <c r="G124" s="29"/>
      <c r="H124" s="1"/>
      <c r="I124" s="1"/>
      <c r="J124" s="1"/>
      <c r="K124" s="1"/>
    </row>
    <row r="125" spans="1:11" ht="39" customHeight="1">
      <c r="A125" s="7">
        <v>24</v>
      </c>
      <c r="B125" s="27" t="s">
        <v>325</v>
      </c>
      <c r="C125" s="27">
        <v>2</v>
      </c>
      <c r="D125" s="8" t="s">
        <v>327</v>
      </c>
      <c r="E125" s="28" t="s">
        <v>14</v>
      </c>
      <c r="F125" s="30"/>
      <c r="G125" s="29"/>
      <c r="H125" s="1"/>
      <c r="I125" s="1"/>
      <c r="J125" s="1"/>
      <c r="K125" s="1"/>
    </row>
    <row r="126" spans="1:11" ht="39" customHeight="1">
      <c r="A126" s="7">
        <v>24</v>
      </c>
      <c r="B126" s="27" t="s">
        <v>325</v>
      </c>
      <c r="C126" s="27">
        <v>3</v>
      </c>
      <c r="D126" s="8" t="s">
        <v>328</v>
      </c>
      <c r="E126" s="28" t="s">
        <v>14</v>
      </c>
      <c r="F126" s="30"/>
      <c r="G126" s="29"/>
      <c r="H126" s="1"/>
      <c r="I126" s="1"/>
      <c r="J126" s="1"/>
      <c r="K126" s="1"/>
    </row>
    <row r="127" spans="1:11" ht="39" customHeight="1">
      <c r="A127" s="7">
        <v>24</v>
      </c>
      <c r="B127" s="27" t="s">
        <v>325</v>
      </c>
      <c r="C127" s="27">
        <v>4</v>
      </c>
      <c r="D127" s="8" t="s">
        <v>329</v>
      </c>
      <c r="E127" s="28" t="s">
        <v>14</v>
      </c>
      <c r="F127" s="30"/>
      <c r="G127" s="29"/>
      <c r="H127" s="1"/>
      <c r="I127" s="1"/>
      <c r="J127" s="1"/>
      <c r="K127" s="1"/>
    </row>
    <row r="128" spans="1:11" ht="39" customHeight="1">
      <c r="A128" s="7">
        <v>24</v>
      </c>
      <c r="B128" s="27" t="s">
        <v>325</v>
      </c>
      <c r="C128" s="27">
        <v>5</v>
      </c>
      <c r="D128" s="8" t="s">
        <v>330</v>
      </c>
      <c r="E128" s="28" t="s">
        <v>14</v>
      </c>
      <c r="F128" s="30"/>
      <c r="G128" s="29"/>
      <c r="H128" s="1"/>
      <c r="I128" s="1"/>
      <c r="J128" s="1"/>
      <c r="K128" s="1"/>
    </row>
    <row r="129" spans="1:11" ht="39" customHeight="1">
      <c r="A129" s="7">
        <v>25</v>
      </c>
      <c r="B129" s="27" t="s">
        <v>331</v>
      </c>
      <c r="C129" s="27">
        <v>1</v>
      </c>
      <c r="D129" s="8" t="s">
        <v>332</v>
      </c>
      <c r="E129" s="28" t="s">
        <v>14</v>
      </c>
      <c r="F129" s="30"/>
      <c r="G129" s="29"/>
      <c r="H129" s="1"/>
      <c r="I129" s="1"/>
      <c r="J129" s="1"/>
      <c r="K129" s="1"/>
    </row>
    <row r="130" spans="1:11" ht="39" customHeight="1">
      <c r="A130" s="7">
        <v>25</v>
      </c>
      <c r="B130" s="27" t="s">
        <v>331</v>
      </c>
      <c r="C130" s="27">
        <v>2</v>
      </c>
      <c r="D130" s="8" t="s">
        <v>333</v>
      </c>
      <c r="E130" s="28" t="s">
        <v>14</v>
      </c>
      <c r="F130" s="30"/>
      <c r="G130" s="29"/>
      <c r="H130" s="1"/>
      <c r="I130" s="1"/>
      <c r="J130" s="1"/>
      <c r="K130" s="1"/>
    </row>
    <row r="131" spans="1:11" ht="39" customHeight="1">
      <c r="A131" s="7">
        <v>25</v>
      </c>
      <c r="B131" s="27" t="s">
        <v>331</v>
      </c>
      <c r="C131" s="27">
        <v>3</v>
      </c>
      <c r="D131" s="8" t="s">
        <v>334</v>
      </c>
      <c r="E131" s="28" t="s">
        <v>14</v>
      </c>
      <c r="F131" s="30"/>
      <c r="G131" s="29"/>
      <c r="H131" s="1"/>
      <c r="I131" s="1"/>
      <c r="J131" s="1"/>
      <c r="K131" s="1"/>
    </row>
    <row r="132" spans="1:11" ht="39" customHeight="1">
      <c r="A132" s="7">
        <v>25</v>
      </c>
      <c r="B132" s="27" t="s">
        <v>331</v>
      </c>
      <c r="C132" s="27">
        <v>4</v>
      </c>
      <c r="D132" s="8" t="s">
        <v>335</v>
      </c>
      <c r="E132" s="28" t="s">
        <v>14</v>
      </c>
      <c r="F132" s="30"/>
      <c r="G132" s="29"/>
      <c r="H132" s="1"/>
      <c r="I132" s="1"/>
      <c r="J132" s="1"/>
      <c r="K132" s="1"/>
    </row>
    <row r="133" spans="1:11" ht="39" customHeight="1">
      <c r="A133" s="7">
        <v>25</v>
      </c>
      <c r="B133" s="27" t="s">
        <v>331</v>
      </c>
      <c r="C133" s="27">
        <v>5</v>
      </c>
      <c r="D133" s="8" t="s">
        <v>336</v>
      </c>
      <c r="E133" s="28" t="s">
        <v>14</v>
      </c>
      <c r="F133" s="30"/>
      <c r="G133" s="29"/>
      <c r="H133" s="1"/>
      <c r="I133" s="1"/>
      <c r="J133" s="1"/>
      <c r="K133" s="1"/>
    </row>
    <row r="134" spans="1:11" ht="39" customHeight="1">
      <c r="A134" s="7">
        <v>26</v>
      </c>
      <c r="B134" s="27" t="s">
        <v>337</v>
      </c>
      <c r="C134" s="27">
        <v>1</v>
      </c>
      <c r="D134" s="8" t="s">
        <v>338</v>
      </c>
      <c r="E134" s="28" t="s">
        <v>14</v>
      </c>
      <c r="F134" s="30"/>
      <c r="G134" s="29"/>
      <c r="H134" s="1"/>
      <c r="I134" s="1"/>
      <c r="J134" s="1"/>
      <c r="K134" s="1"/>
    </row>
    <row r="135" spans="1:11" ht="39" customHeight="1">
      <c r="A135" s="7">
        <v>26</v>
      </c>
      <c r="B135" s="27" t="s">
        <v>337</v>
      </c>
      <c r="C135" s="27">
        <v>2</v>
      </c>
      <c r="D135" s="8" t="s">
        <v>339</v>
      </c>
      <c r="E135" s="28" t="s">
        <v>14</v>
      </c>
      <c r="F135" s="30"/>
      <c r="G135" s="29"/>
      <c r="H135" s="1"/>
      <c r="I135" s="1"/>
      <c r="J135" s="1"/>
      <c r="K135" s="1"/>
    </row>
    <row r="136" spans="1:11" ht="39" customHeight="1">
      <c r="A136" s="7">
        <v>26</v>
      </c>
      <c r="B136" s="27" t="s">
        <v>337</v>
      </c>
      <c r="C136" s="27">
        <v>3</v>
      </c>
      <c r="D136" s="8" t="s">
        <v>340</v>
      </c>
      <c r="E136" s="28" t="s">
        <v>14</v>
      </c>
      <c r="F136" s="30"/>
      <c r="G136" s="29"/>
      <c r="H136" s="1"/>
      <c r="I136" s="1"/>
      <c r="J136" s="1"/>
      <c r="K136" s="1"/>
    </row>
    <row r="137" spans="1:11" ht="39" customHeight="1">
      <c r="A137" s="7">
        <v>26</v>
      </c>
      <c r="B137" s="27" t="s">
        <v>337</v>
      </c>
      <c r="C137" s="27">
        <v>4</v>
      </c>
      <c r="D137" s="8" t="s">
        <v>341</v>
      </c>
      <c r="E137" s="28" t="s">
        <v>14</v>
      </c>
      <c r="F137" s="30"/>
      <c r="G137" s="29"/>
      <c r="H137" s="1"/>
      <c r="I137" s="1"/>
      <c r="J137" s="1"/>
      <c r="K137" s="1"/>
    </row>
    <row r="138" spans="1:11" ht="39" customHeight="1">
      <c r="A138" s="7">
        <v>26</v>
      </c>
      <c r="B138" s="27" t="s">
        <v>337</v>
      </c>
      <c r="C138" s="27">
        <v>5</v>
      </c>
      <c r="D138" s="8" t="s">
        <v>342</v>
      </c>
      <c r="E138" s="28" t="s">
        <v>14</v>
      </c>
      <c r="F138" s="30"/>
      <c r="G138" s="29"/>
      <c r="H138" s="1"/>
      <c r="I138" s="1"/>
      <c r="J138" s="1"/>
      <c r="K138" s="1"/>
    </row>
    <row r="139" spans="1:11" ht="39" customHeight="1">
      <c r="A139" s="7">
        <v>27</v>
      </c>
      <c r="B139" s="27" t="s">
        <v>343</v>
      </c>
      <c r="C139" s="27">
        <v>1</v>
      </c>
      <c r="D139" s="8" t="s">
        <v>344</v>
      </c>
      <c r="E139" s="28" t="s">
        <v>14</v>
      </c>
      <c r="F139" s="30"/>
      <c r="G139" s="29"/>
      <c r="H139" s="1"/>
      <c r="I139" s="1"/>
      <c r="J139" s="1"/>
      <c r="K139" s="1"/>
    </row>
    <row r="140" spans="1:11" ht="39" customHeight="1">
      <c r="A140" s="7">
        <v>27</v>
      </c>
      <c r="B140" s="27" t="s">
        <v>343</v>
      </c>
      <c r="C140" s="27">
        <v>2</v>
      </c>
      <c r="D140" s="8" t="s">
        <v>345</v>
      </c>
      <c r="E140" s="28" t="s">
        <v>14</v>
      </c>
      <c r="F140" s="30"/>
      <c r="G140" s="29"/>
      <c r="H140" s="1"/>
      <c r="I140" s="1"/>
      <c r="J140" s="1"/>
      <c r="K140" s="1"/>
    </row>
    <row r="141" spans="1:11" ht="39" customHeight="1">
      <c r="A141" s="7">
        <v>27</v>
      </c>
      <c r="B141" s="27" t="s">
        <v>343</v>
      </c>
      <c r="C141" s="27">
        <v>3</v>
      </c>
      <c r="D141" s="8" t="s">
        <v>346</v>
      </c>
      <c r="E141" s="28" t="s">
        <v>14</v>
      </c>
      <c r="F141" s="30"/>
      <c r="G141" s="29"/>
      <c r="H141" s="1"/>
      <c r="I141" s="1"/>
      <c r="J141" s="1"/>
      <c r="K141" s="1"/>
    </row>
    <row r="142" spans="1:11" ht="39" customHeight="1">
      <c r="A142" s="7">
        <v>27</v>
      </c>
      <c r="B142" s="27" t="s">
        <v>343</v>
      </c>
      <c r="C142" s="27">
        <v>4</v>
      </c>
      <c r="D142" s="8" t="s">
        <v>347</v>
      </c>
      <c r="E142" s="28" t="s">
        <v>14</v>
      </c>
      <c r="F142" s="30"/>
      <c r="G142" s="29"/>
      <c r="H142" s="1"/>
      <c r="I142" s="1"/>
      <c r="J142" s="1"/>
      <c r="K142" s="1"/>
    </row>
    <row r="143" spans="1:11" ht="39" customHeight="1">
      <c r="A143" s="7">
        <v>27</v>
      </c>
      <c r="B143" s="27" t="s">
        <v>343</v>
      </c>
      <c r="C143" s="27">
        <v>5</v>
      </c>
      <c r="D143" s="8" t="s">
        <v>348</v>
      </c>
      <c r="E143" s="28" t="s">
        <v>14</v>
      </c>
      <c r="F143" s="30"/>
      <c r="G143" s="29"/>
      <c r="H143" s="1"/>
      <c r="I143" s="1"/>
      <c r="J143" s="1"/>
      <c r="K143" s="1"/>
    </row>
    <row r="144" spans="1:11" ht="39" customHeight="1">
      <c r="A144" s="7">
        <v>28</v>
      </c>
      <c r="B144" s="27" t="s">
        <v>349</v>
      </c>
      <c r="C144" s="27">
        <v>1</v>
      </c>
      <c r="D144" s="8" t="s">
        <v>350</v>
      </c>
      <c r="E144" s="28" t="s">
        <v>14</v>
      </c>
      <c r="F144" s="30"/>
      <c r="G144" s="29"/>
      <c r="H144" s="1"/>
      <c r="I144" s="1"/>
      <c r="J144" s="1"/>
      <c r="K144" s="1"/>
    </row>
    <row r="145" spans="1:11" ht="39" customHeight="1">
      <c r="A145" s="7">
        <v>28</v>
      </c>
      <c r="B145" s="27" t="s">
        <v>349</v>
      </c>
      <c r="C145" s="27">
        <v>2</v>
      </c>
      <c r="D145" s="8" t="s">
        <v>351</v>
      </c>
      <c r="E145" s="28" t="s">
        <v>14</v>
      </c>
      <c r="F145" s="30"/>
      <c r="G145" s="29"/>
      <c r="H145" s="1"/>
      <c r="I145" s="1"/>
      <c r="J145" s="1"/>
      <c r="K145" s="1"/>
    </row>
    <row r="146" spans="1:11" ht="39" customHeight="1">
      <c r="A146" s="7">
        <v>28</v>
      </c>
      <c r="B146" s="27" t="s">
        <v>349</v>
      </c>
      <c r="C146" s="27">
        <v>3</v>
      </c>
      <c r="D146" s="8" t="s">
        <v>352</v>
      </c>
      <c r="E146" s="28" t="s">
        <v>14</v>
      </c>
      <c r="F146" s="30"/>
      <c r="G146" s="29"/>
      <c r="H146" s="1"/>
      <c r="I146" s="1"/>
      <c r="J146" s="1"/>
      <c r="K146" s="1"/>
    </row>
    <row r="147" spans="1:11" ht="39" customHeight="1">
      <c r="A147" s="7">
        <v>28</v>
      </c>
      <c r="B147" s="27" t="s">
        <v>349</v>
      </c>
      <c r="C147" s="27">
        <v>4</v>
      </c>
      <c r="D147" s="8" t="s">
        <v>353</v>
      </c>
      <c r="E147" s="28" t="s">
        <v>14</v>
      </c>
      <c r="F147" s="30"/>
      <c r="G147" s="29"/>
      <c r="H147" s="1"/>
      <c r="I147" s="1"/>
      <c r="J147" s="1"/>
      <c r="K147" s="1"/>
    </row>
    <row r="148" spans="1:11" ht="39" customHeight="1">
      <c r="A148" s="7">
        <v>28</v>
      </c>
      <c r="B148" s="27" t="s">
        <v>349</v>
      </c>
      <c r="C148" s="27">
        <v>5</v>
      </c>
      <c r="D148" s="8" t="s">
        <v>354</v>
      </c>
      <c r="E148" s="28" t="s">
        <v>14</v>
      </c>
      <c r="F148" s="30"/>
      <c r="G148" s="29"/>
      <c r="H148" s="1"/>
      <c r="I148" s="1"/>
      <c r="J148" s="1"/>
      <c r="K148" s="1"/>
    </row>
    <row r="149" spans="1:11" ht="39" customHeight="1">
      <c r="A149" s="7">
        <v>29</v>
      </c>
      <c r="B149" s="27" t="s">
        <v>355</v>
      </c>
      <c r="C149" s="27">
        <v>1</v>
      </c>
      <c r="D149" s="8" t="s">
        <v>356</v>
      </c>
      <c r="E149" s="28" t="s">
        <v>14</v>
      </c>
      <c r="F149" s="30"/>
      <c r="G149" s="29"/>
      <c r="H149" s="1"/>
      <c r="I149" s="1"/>
      <c r="J149" s="1"/>
      <c r="K149" s="1"/>
    </row>
    <row r="150" spans="1:11" ht="39" customHeight="1">
      <c r="A150" s="7">
        <v>29</v>
      </c>
      <c r="B150" s="27" t="s">
        <v>355</v>
      </c>
      <c r="C150" s="27">
        <v>2</v>
      </c>
      <c r="D150" s="8" t="s">
        <v>357</v>
      </c>
      <c r="E150" s="28" t="s">
        <v>14</v>
      </c>
      <c r="F150" s="30"/>
      <c r="G150" s="29"/>
      <c r="H150" s="1"/>
      <c r="I150" s="1"/>
      <c r="J150" s="1"/>
      <c r="K150" s="1"/>
    </row>
    <row r="151" spans="1:11" ht="39" customHeight="1">
      <c r="A151" s="7">
        <v>29</v>
      </c>
      <c r="B151" s="27" t="s">
        <v>355</v>
      </c>
      <c r="C151" s="27">
        <v>3</v>
      </c>
      <c r="D151" s="8" t="s">
        <v>358</v>
      </c>
      <c r="E151" s="28" t="s">
        <v>14</v>
      </c>
      <c r="F151" s="30"/>
      <c r="G151" s="29"/>
      <c r="H151" s="1"/>
      <c r="I151" s="1"/>
      <c r="J151" s="1"/>
      <c r="K151" s="1"/>
    </row>
    <row r="152" spans="1:11" ht="39" customHeight="1">
      <c r="A152" s="7">
        <v>29</v>
      </c>
      <c r="B152" s="27" t="s">
        <v>355</v>
      </c>
      <c r="C152" s="27">
        <v>4</v>
      </c>
      <c r="D152" s="8" t="s">
        <v>359</v>
      </c>
      <c r="E152" s="28" t="s">
        <v>14</v>
      </c>
      <c r="F152" s="30"/>
      <c r="G152" s="29"/>
      <c r="H152" s="1"/>
      <c r="I152" s="1"/>
      <c r="J152" s="1"/>
      <c r="K152" s="1"/>
    </row>
    <row r="153" spans="1:11" ht="39" customHeight="1">
      <c r="A153" s="7">
        <v>29</v>
      </c>
      <c r="B153" s="27" t="s">
        <v>355</v>
      </c>
      <c r="C153" s="27">
        <v>5</v>
      </c>
      <c r="D153" s="8" t="s">
        <v>360</v>
      </c>
      <c r="E153" s="28" t="s">
        <v>14</v>
      </c>
      <c r="F153" s="30"/>
      <c r="G153" s="29"/>
      <c r="H153" s="1"/>
      <c r="I153" s="1"/>
      <c r="J153" s="1"/>
      <c r="K153" s="1"/>
    </row>
    <row r="154" spans="1:11" ht="39" customHeight="1">
      <c r="A154" s="7">
        <v>30</v>
      </c>
      <c r="B154" s="27" t="s">
        <v>361</v>
      </c>
      <c r="C154" s="27">
        <v>1</v>
      </c>
      <c r="D154" s="8" t="s">
        <v>362</v>
      </c>
      <c r="E154" s="28" t="s">
        <v>14</v>
      </c>
      <c r="F154" s="30"/>
      <c r="G154" s="29"/>
      <c r="H154" s="1"/>
      <c r="I154" s="1"/>
      <c r="J154" s="1"/>
      <c r="K154" s="1"/>
    </row>
    <row r="155" spans="1:11" ht="39" customHeight="1">
      <c r="A155" s="7">
        <v>30</v>
      </c>
      <c r="B155" s="27" t="s">
        <v>361</v>
      </c>
      <c r="C155" s="27">
        <v>2</v>
      </c>
      <c r="D155" s="8" t="s">
        <v>363</v>
      </c>
      <c r="E155" s="28" t="s">
        <v>14</v>
      </c>
      <c r="F155" s="30"/>
      <c r="G155" s="29"/>
      <c r="H155" s="1"/>
      <c r="I155" s="1"/>
      <c r="J155" s="1"/>
      <c r="K155" s="1"/>
    </row>
    <row r="156" spans="1:11" ht="39" customHeight="1">
      <c r="A156" s="7">
        <v>30</v>
      </c>
      <c r="B156" s="27" t="s">
        <v>361</v>
      </c>
      <c r="C156" s="27">
        <v>3</v>
      </c>
      <c r="D156" s="8" t="s">
        <v>364</v>
      </c>
      <c r="E156" s="28" t="s">
        <v>14</v>
      </c>
      <c r="F156" s="30"/>
      <c r="G156" s="29"/>
      <c r="H156" s="1"/>
      <c r="I156" s="1"/>
      <c r="J156" s="1"/>
      <c r="K156" s="1"/>
    </row>
    <row r="157" spans="1:11" ht="39" customHeight="1">
      <c r="A157" s="7">
        <v>30</v>
      </c>
      <c r="B157" s="27" t="s">
        <v>361</v>
      </c>
      <c r="C157" s="27">
        <v>4</v>
      </c>
      <c r="D157" s="8" t="s">
        <v>365</v>
      </c>
      <c r="E157" s="28" t="s">
        <v>14</v>
      </c>
      <c r="F157" s="30"/>
      <c r="G157" s="29"/>
      <c r="H157" s="1"/>
      <c r="I157" s="1"/>
      <c r="J157" s="1"/>
      <c r="K157" s="1"/>
    </row>
    <row r="158" spans="1:11" ht="39" customHeight="1">
      <c r="A158" s="7">
        <v>30</v>
      </c>
      <c r="B158" s="27" t="s">
        <v>361</v>
      </c>
      <c r="C158" s="27">
        <v>5</v>
      </c>
      <c r="D158" s="8" t="s">
        <v>366</v>
      </c>
      <c r="E158" s="28" t="s">
        <v>14</v>
      </c>
      <c r="F158" s="30"/>
      <c r="G158" s="29"/>
      <c r="H158" s="1"/>
      <c r="I158" s="1"/>
      <c r="J158" s="1"/>
      <c r="K158" s="1"/>
    </row>
    <row r="159" spans="1:11" ht="39" customHeight="1">
      <c r="A159" s="7">
        <v>31</v>
      </c>
      <c r="B159" s="27" t="s">
        <v>367</v>
      </c>
      <c r="C159" s="27">
        <v>1</v>
      </c>
      <c r="D159" s="8" t="s">
        <v>368</v>
      </c>
      <c r="E159" s="28" t="s">
        <v>14</v>
      </c>
      <c r="F159" s="30"/>
      <c r="G159" s="29"/>
      <c r="H159" s="1"/>
      <c r="I159" s="1"/>
      <c r="J159" s="1"/>
      <c r="K159" s="1"/>
    </row>
    <row r="160" spans="1:11" ht="39" customHeight="1">
      <c r="A160" s="7">
        <v>31</v>
      </c>
      <c r="B160" s="27" t="s">
        <v>367</v>
      </c>
      <c r="C160" s="27">
        <v>2</v>
      </c>
      <c r="D160" s="8" t="s">
        <v>369</v>
      </c>
      <c r="E160" s="28" t="s">
        <v>14</v>
      </c>
      <c r="F160" s="30"/>
      <c r="G160" s="29"/>
      <c r="H160" s="1"/>
      <c r="I160" s="1"/>
      <c r="J160" s="1"/>
      <c r="K160" s="1"/>
    </row>
    <row r="161" spans="1:11" ht="39" customHeight="1">
      <c r="A161" s="7">
        <v>31</v>
      </c>
      <c r="B161" s="27" t="s">
        <v>367</v>
      </c>
      <c r="C161" s="27">
        <v>3</v>
      </c>
      <c r="D161" s="8" t="s">
        <v>370</v>
      </c>
      <c r="E161" s="28" t="s">
        <v>14</v>
      </c>
      <c r="F161" s="30"/>
      <c r="G161" s="29"/>
      <c r="H161" s="1"/>
      <c r="I161" s="1"/>
      <c r="J161" s="1"/>
      <c r="K161" s="1"/>
    </row>
    <row r="162" spans="1:11" ht="39" customHeight="1">
      <c r="A162" s="7">
        <v>31</v>
      </c>
      <c r="B162" s="27" t="s">
        <v>367</v>
      </c>
      <c r="C162" s="27">
        <v>4</v>
      </c>
      <c r="D162" s="8" t="s">
        <v>371</v>
      </c>
      <c r="E162" s="28" t="s">
        <v>14</v>
      </c>
      <c r="F162" s="30"/>
      <c r="G162" s="29"/>
      <c r="H162" s="1"/>
      <c r="I162" s="1"/>
      <c r="J162" s="1"/>
      <c r="K162" s="1"/>
    </row>
    <row r="163" spans="1:11" ht="39" customHeight="1">
      <c r="A163" s="7">
        <v>31</v>
      </c>
      <c r="B163" s="27" t="s">
        <v>367</v>
      </c>
      <c r="C163" s="27">
        <v>5</v>
      </c>
      <c r="D163" s="8" t="s">
        <v>372</v>
      </c>
      <c r="E163" s="28" t="s">
        <v>14</v>
      </c>
      <c r="F163" s="30"/>
      <c r="G163" s="29"/>
      <c r="H163" s="1"/>
      <c r="I163" s="1"/>
      <c r="J163" s="1"/>
      <c r="K163" s="1"/>
    </row>
    <row r="164" spans="1:11" ht="39" customHeight="1">
      <c r="A164" s="7">
        <v>32</v>
      </c>
      <c r="B164" s="27" t="s">
        <v>373</v>
      </c>
      <c r="C164" s="27">
        <v>1</v>
      </c>
      <c r="D164" s="8" t="s">
        <v>374</v>
      </c>
      <c r="E164" s="28" t="s">
        <v>14</v>
      </c>
      <c r="F164" s="30"/>
      <c r="G164" s="29"/>
      <c r="H164" s="1"/>
      <c r="I164" s="1"/>
      <c r="J164" s="1"/>
      <c r="K164" s="1"/>
    </row>
    <row r="165" spans="1:11" ht="39" customHeight="1">
      <c r="A165" s="7">
        <v>32</v>
      </c>
      <c r="B165" s="27" t="s">
        <v>373</v>
      </c>
      <c r="C165" s="27">
        <v>2</v>
      </c>
      <c r="D165" s="8" t="s">
        <v>375</v>
      </c>
      <c r="E165" s="28" t="s">
        <v>14</v>
      </c>
      <c r="F165" s="30"/>
      <c r="G165" s="29"/>
      <c r="H165" s="1"/>
      <c r="I165" s="1"/>
      <c r="J165" s="1"/>
      <c r="K165" s="1"/>
    </row>
    <row r="166" spans="1:11" ht="39" customHeight="1">
      <c r="A166" s="7">
        <v>32</v>
      </c>
      <c r="B166" s="27" t="s">
        <v>373</v>
      </c>
      <c r="C166" s="27">
        <v>3</v>
      </c>
      <c r="D166" s="8" t="s">
        <v>376</v>
      </c>
      <c r="E166" s="28" t="s">
        <v>14</v>
      </c>
      <c r="F166" s="30"/>
      <c r="G166" s="29"/>
      <c r="H166" s="1"/>
      <c r="I166" s="1"/>
      <c r="J166" s="1"/>
      <c r="K166" s="1"/>
    </row>
    <row r="167" spans="1:11" ht="39" customHeight="1">
      <c r="A167" s="7">
        <v>32</v>
      </c>
      <c r="B167" s="27" t="s">
        <v>373</v>
      </c>
      <c r="C167" s="27">
        <v>4</v>
      </c>
      <c r="D167" s="8" t="s">
        <v>377</v>
      </c>
      <c r="E167" s="28" t="s">
        <v>14</v>
      </c>
      <c r="F167" s="30"/>
      <c r="G167" s="29"/>
      <c r="H167" s="1"/>
      <c r="I167" s="1"/>
      <c r="J167" s="1"/>
      <c r="K167" s="1"/>
    </row>
    <row r="168" spans="1:11" ht="39" customHeight="1">
      <c r="A168" s="7">
        <v>32</v>
      </c>
      <c r="B168" s="27" t="s">
        <v>373</v>
      </c>
      <c r="C168" s="27">
        <v>5</v>
      </c>
      <c r="D168" s="8" t="s">
        <v>378</v>
      </c>
      <c r="E168" s="28" t="s">
        <v>14</v>
      </c>
      <c r="F168" s="30"/>
      <c r="G168" s="29"/>
      <c r="H168" s="1"/>
      <c r="I168" s="1"/>
      <c r="J168" s="1"/>
      <c r="K168" s="1"/>
    </row>
    <row r="169" spans="1:11" ht="39" customHeight="1">
      <c r="A169" s="7">
        <v>33</v>
      </c>
      <c r="B169" s="27" t="s">
        <v>379</v>
      </c>
      <c r="C169" s="27">
        <v>1</v>
      </c>
      <c r="D169" s="8" t="s">
        <v>380</v>
      </c>
      <c r="E169" s="28" t="s">
        <v>14</v>
      </c>
      <c r="F169" s="30"/>
      <c r="G169" s="29"/>
      <c r="H169" s="1"/>
      <c r="I169" s="1"/>
      <c r="J169" s="1"/>
      <c r="K169" s="1"/>
    </row>
    <row r="170" spans="1:11" ht="39" customHeight="1">
      <c r="A170" s="7">
        <v>33</v>
      </c>
      <c r="B170" s="27" t="s">
        <v>379</v>
      </c>
      <c r="C170" s="27">
        <v>2</v>
      </c>
      <c r="D170" s="8" t="s">
        <v>381</v>
      </c>
      <c r="E170" s="28" t="s">
        <v>14</v>
      </c>
      <c r="F170" s="30"/>
      <c r="G170" s="29"/>
      <c r="H170" s="1"/>
      <c r="I170" s="1"/>
      <c r="J170" s="1"/>
      <c r="K170" s="1"/>
    </row>
    <row r="171" spans="1:11" ht="39" customHeight="1">
      <c r="A171" s="7">
        <v>33</v>
      </c>
      <c r="B171" s="27" t="s">
        <v>379</v>
      </c>
      <c r="C171" s="27">
        <v>3</v>
      </c>
      <c r="D171" s="8" t="s">
        <v>382</v>
      </c>
      <c r="E171" s="28" t="s">
        <v>14</v>
      </c>
      <c r="F171" s="30"/>
      <c r="G171" s="29"/>
      <c r="H171" s="1"/>
      <c r="I171" s="1"/>
      <c r="J171" s="1"/>
      <c r="K171" s="1"/>
    </row>
    <row r="172" spans="1:11" ht="39" customHeight="1">
      <c r="A172" s="7">
        <v>33</v>
      </c>
      <c r="B172" s="27" t="s">
        <v>379</v>
      </c>
      <c r="C172" s="27">
        <v>4</v>
      </c>
      <c r="D172" s="8" t="s">
        <v>383</v>
      </c>
      <c r="E172" s="28" t="s">
        <v>14</v>
      </c>
      <c r="F172" s="30"/>
      <c r="G172" s="29"/>
      <c r="H172" s="1"/>
      <c r="I172" s="1"/>
      <c r="J172" s="1"/>
      <c r="K172" s="1"/>
    </row>
    <row r="173" spans="1:11" ht="39" customHeight="1">
      <c r="A173" s="7">
        <v>33</v>
      </c>
      <c r="B173" s="27" t="s">
        <v>379</v>
      </c>
      <c r="C173" s="27">
        <v>5</v>
      </c>
      <c r="D173" s="8" t="s">
        <v>384</v>
      </c>
      <c r="E173" s="28" t="s">
        <v>14</v>
      </c>
      <c r="F173" s="30"/>
      <c r="G173" s="29"/>
      <c r="H173" s="1"/>
      <c r="I173" s="1"/>
      <c r="J173" s="1"/>
      <c r="K173" s="1"/>
    </row>
    <row r="174" spans="1:11" ht="39" customHeight="1">
      <c r="A174" s="7">
        <v>34</v>
      </c>
      <c r="B174" s="27" t="s">
        <v>385</v>
      </c>
      <c r="C174" s="27">
        <v>1</v>
      </c>
      <c r="D174" s="8" t="s">
        <v>386</v>
      </c>
      <c r="E174" s="28" t="s">
        <v>14</v>
      </c>
      <c r="F174" s="30"/>
      <c r="G174" s="29"/>
      <c r="H174" s="1"/>
      <c r="I174" s="1"/>
      <c r="J174" s="1"/>
      <c r="K174" s="1"/>
    </row>
    <row r="175" spans="1:11" ht="39" customHeight="1">
      <c r="A175" s="7">
        <v>34</v>
      </c>
      <c r="B175" s="27" t="s">
        <v>385</v>
      </c>
      <c r="C175" s="27">
        <v>2</v>
      </c>
      <c r="D175" s="8" t="s">
        <v>387</v>
      </c>
      <c r="E175" s="28" t="s">
        <v>14</v>
      </c>
      <c r="F175" s="30"/>
      <c r="G175" s="29"/>
      <c r="H175" s="1"/>
      <c r="I175" s="1"/>
      <c r="J175" s="1"/>
      <c r="K175" s="1"/>
    </row>
    <row r="176" spans="1:11" ht="39" customHeight="1">
      <c r="A176" s="7">
        <v>34</v>
      </c>
      <c r="B176" s="27" t="s">
        <v>385</v>
      </c>
      <c r="C176" s="27">
        <v>3</v>
      </c>
      <c r="D176" s="8" t="s">
        <v>388</v>
      </c>
      <c r="E176" s="28" t="s">
        <v>14</v>
      </c>
      <c r="F176" s="30"/>
      <c r="G176" s="29"/>
      <c r="H176" s="1"/>
      <c r="I176" s="1"/>
      <c r="J176" s="1"/>
      <c r="K176" s="1"/>
    </row>
    <row r="177" spans="1:11" ht="39" customHeight="1">
      <c r="A177" s="7">
        <v>34</v>
      </c>
      <c r="B177" s="27" t="s">
        <v>385</v>
      </c>
      <c r="C177" s="27">
        <v>4</v>
      </c>
      <c r="D177" s="8" t="s">
        <v>389</v>
      </c>
      <c r="E177" s="28" t="s">
        <v>14</v>
      </c>
      <c r="F177" s="30"/>
      <c r="G177" s="29"/>
      <c r="H177" s="1"/>
      <c r="I177" s="1"/>
      <c r="J177" s="1"/>
      <c r="K177" s="1"/>
    </row>
    <row r="178" spans="1:11" ht="39" customHeight="1">
      <c r="A178" s="7">
        <v>34</v>
      </c>
      <c r="B178" s="27" t="s">
        <v>385</v>
      </c>
      <c r="C178" s="27">
        <v>5</v>
      </c>
      <c r="D178" s="8" t="s">
        <v>390</v>
      </c>
      <c r="E178" s="28" t="s">
        <v>14</v>
      </c>
      <c r="F178" s="30"/>
      <c r="G178" s="29"/>
      <c r="H178" s="1"/>
      <c r="I178" s="1"/>
      <c r="J178" s="1"/>
      <c r="K178" s="1"/>
    </row>
    <row r="179" spans="1:11" ht="39" customHeight="1">
      <c r="A179" s="7">
        <v>35</v>
      </c>
      <c r="B179" s="27" t="s">
        <v>391</v>
      </c>
      <c r="C179" s="27">
        <v>1</v>
      </c>
      <c r="D179" s="8" t="s">
        <v>392</v>
      </c>
      <c r="E179" s="28" t="s">
        <v>14</v>
      </c>
      <c r="F179" s="30"/>
      <c r="G179" s="29"/>
      <c r="H179" s="1"/>
      <c r="I179" s="1"/>
      <c r="J179" s="1"/>
      <c r="K179" s="1"/>
    </row>
    <row r="180" spans="1:11" ht="39" customHeight="1">
      <c r="A180" s="7">
        <v>35</v>
      </c>
      <c r="B180" s="27" t="s">
        <v>391</v>
      </c>
      <c r="C180" s="27">
        <v>2</v>
      </c>
      <c r="D180" s="8" t="s">
        <v>393</v>
      </c>
      <c r="E180" s="28" t="s">
        <v>14</v>
      </c>
      <c r="F180" s="30"/>
      <c r="G180" s="29"/>
      <c r="H180" s="1"/>
      <c r="I180" s="1"/>
      <c r="J180" s="1"/>
      <c r="K180" s="1"/>
    </row>
    <row r="181" spans="1:11" ht="39" customHeight="1">
      <c r="A181" s="7">
        <v>35</v>
      </c>
      <c r="B181" s="27" t="s">
        <v>391</v>
      </c>
      <c r="C181" s="27">
        <v>3</v>
      </c>
      <c r="D181" s="8" t="s">
        <v>394</v>
      </c>
      <c r="E181" s="28" t="s">
        <v>14</v>
      </c>
      <c r="F181" s="30"/>
      <c r="G181" s="29"/>
      <c r="H181" s="1"/>
      <c r="I181" s="1"/>
      <c r="J181" s="1"/>
      <c r="K181" s="1"/>
    </row>
    <row r="182" spans="1:11" ht="39" customHeight="1">
      <c r="A182" s="7">
        <v>35</v>
      </c>
      <c r="B182" s="27" t="s">
        <v>391</v>
      </c>
      <c r="C182" s="27">
        <v>4</v>
      </c>
      <c r="D182" s="8" t="s">
        <v>395</v>
      </c>
      <c r="E182" s="28" t="s">
        <v>14</v>
      </c>
      <c r="F182" s="30"/>
      <c r="G182" s="29"/>
      <c r="H182" s="1"/>
      <c r="I182" s="1"/>
      <c r="J182" s="1"/>
      <c r="K182" s="1"/>
    </row>
    <row r="183" spans="1:11" ht="39" customHeight="1">
      <c r="A183" s="7">
        <v>35</v>
      </c>
      <c r="B183" s="27" t="s">
        <v>391</v>
      </c>
      <c r="C183" s="27">
        <v>5</v>
      </c>
      <c r="D183" s="8" t="s">
        <v>396</v>
      </c>
      <c r="E183" s="28" t="s">
        <v>14</v>
      </c>
      <c r="F183" s="30"/>
      <c r="G183" s="29"/>
      <c r="H183" s="1"/>
      <c r="I183" s="1"/>
      <c r="J183" s="1"/>
      <c r="K183" s="1"/>
    </row>
    <row r="184" spans="1:11" ht="39" customHeight="1">
      <c r="A184" s="7">
        <v>36</v>
      </c>
      <c r="B184" s="27" t="s">
        <v>397</v>
      </c>
      <c r="C184" s="27">
        <v>1</v>
      </c>
      <c r="D184" s="8" t="s">
        <v>398</v>
      </c>
      <c r="E184" s="28" t="s">
        <v>14</v>
      </c>
      <c r="F184" s="30"/>
      <c r="G184" s="29"/>
      <c r="H184" s="1"/>
      <c r="I184" s="1"/>
      <c r="J184" s="1"/>
      <c r="K184" s="1"/>
    </row>
    <row r="185" spans="1:11" ht="39" customHeight="1">
      <c r="A185" s="7">
        <v>36</v>
      </c>
      <c r="B185" s="27" t="s">
        <v>397</v>
      </c>
      <c r="C185" s="27">
        <v>2</v>
      </c>
      <c r="D185" s="8" t="s">
        <v>399</v>
      </c>
      <c r="E185" s="28" t="s">
        <v>14</v>
      </c>
      <c r="F185" s="30"/>
      <c r="G185" s="29"/>
      <c r="H185" s="1"/>
      <c r="I185" s="1"/>
      <c r="J185" s="1"/>
      <c r="K185" s="1"/>
    </row>
    <row r="186" spans="1:11" ht="39" customHeight="1">
      <c r="A186" s="7">
        <v>36</v>
      </c>
      <c r="B186" s="27" t="s">
        <v>397</v>
      </c>
      <c r="C186" s="27">
        <v>3</v>
      </c>
      <c r="D186" s="8" t="s">
        <v>400</v>
      </c>
      <c r="E186" s="28" t="s">
        <v>14</v>
      </c>
      <c r="F186" s="30"/>
      <c r="G186" s="29"/>
      <c r="H186" s="1"/>
      <c r="I186" s="1"/>
      <c r="J186" s="1"/>
      <c r="K186" s="1"/>
    </row>
    <row r="187" spans="1:11" ht="39" customHeight="1">
      <c r="A187" s="7">
        <v>36</v>
      </c>
      <c r="B187" s="27" t="s">
        <v>397</v>
      </c>
      <c r="C187" s="27">
        <v>4</v>
      </c>
      <c r="D187" s="8" t="s">
        <v>401</v>
      </c>
      <c r="E187" s="28" t="s">
        <v>14</v>
      </c>
      <c r="F187" s="30"/>
      <c r="G187" s="29"/>
      <c r="H187" s="1"/>
      <c r="I187" s="1"/>
      <c r="J187" s="1"/>
      <c r="K187" s="1"/>
    </row>
    <row r="188" spans="1:11" ht="39" customHeight="1">
      <c r="A188" s="7">
        <v>36</v>
      </c>
      <c r="B188" s="27" t="s">
        <v>397</v>
      </c>
      <c r="C188" s="27">
        <v>5</v>
      </c>
      <c r="D188" s="8" t="s">
        <v>402</v>
      </c>
      <c r="E188" s="28" t="s">
        <v>14</v>
      </c>
      <c r="F188" s="30"/>
      <c r="G188" s="29"/>
      <c r="H188" s="1"/>
      <c r="I188" s="1"/>
      <c r="J188" s="1"/>
      <c r="K188" s="1"/>
    </row>
  </sheetData>
  <mergeCells count="11">
    <mergeCell ref="I47:K47"/>
    <mergeCell ref="I48:K50"/>
    <mergeCell ref="I52:K52"/>
    <mergeCell ref="I53:K55"/>
    <mergeCell ref="I57:K57"/>
    <mergeCell ref="I74:K77"/>
    <mergeCell ref="I58:K61"/>
    <mergeCell ref="I63:K63"/>
    <mergeCell ref="I64:K67"/>
    <mergeCell ref="I69:K69"/>
    <mergeCell ref="I70:K73"/>
  </mergeCells>
  <phoneticPr fontId="9" type="noConversion"/>
  <conditionalFormatting sqref="A9:G188">
    <cfRule type="expression" dxfId="2" priority="1">
      <formula>$E9="☑"</formula>
    </cfRule>
  </conditionalFormatting>
  <dataValidations count="1">
    <dataValidation type="list" sqref="E9:E188" xr:uid="{00000000-0002-0000-01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94D75"/>
  </sheetPr>
  <dimension ref="A1:M318"/>
  <sheetViews>
    <sheetView showGridLines="0" workbookViewId="0">
      <pane ySplit="8" topLeftCell="A9" activePane="bottomLeft" state="frozen"/>
      <selection pane="bottomLeft" activeCell="F14" sqref="F14"/>
    </sheetView>
  </sheetViews>
  <sheetFormatPr defaultRowHeight="14.25"/>
  <cols>
    <col min="1" max="1" width="6.125" customWidth="1"/>
    <col min="2" max="3" width="10.875" customWidth="1"/>
    <col min="4" max="4" width="18.875" customWidth="1"/>
    <col min="5" max="5" width="5.5" customWidth="1"/>
    <col min="6" max="6" width="52.25" customWidth="1"/>
    <col min="7" max="7" width="7.25" customWidth="1"/>
    <col min="8" max="8" width="11.625" customWidth="1"/>
    <col min="9" max="9" width="24.5" customWidth="1"/>
    <col min="10" max="10" width="2.5" customWidth="1"/>
    <col min="11" max="11" width="6.125" customWidth="1"/>
    <col min="12" max="12" width="8.375" customWidth="1"/>
    <col min="13" max="13" width="8.875" customWidth="1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3.950000000000003" customHeight="1">
      <c r="A2" s="2" t="s">
        <v>403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32" t="s">
        <v>0</v>
      </c>
      <c r="B4" s="32">
        <v>310</v>
      </c>
      <c r="C4" s="32" t="s">
        <v>1</v>
      </c>
      <c r="D4" s="32">
        <f>COUNTIFS(G9:G318,"☑")</f>
        <v>0</v>
      </c>
      <c r="E4" s="32" t="s">
        <v>2</v>
      </c>
      <c r="F4" s="33">
        <f>D4/B4</f>
        <v>0</v>
      </c>
      <c r="G4" s="1"/>
      <c r="H4" s="1"/>
      <c r="I4" s="1"/>
      <c r="J4" s="1"/>
      <c r="K4" s="1"/>
      <c r="L4" s="1"/>
      <c r="M4" s="1"/>
    </row>
    <row r="5" spans="1:13">
      <c r="A5" s="25" t="s">
        <v>404</v>
      </c>
      <c r="B5" s="25"/>
      <c r="C5" s="25"/>
      <c r="D5" s="25"/>
      <c r="E5" s="25"/>
      <c r="F5" s="25"/>
      <c r="G5" s="25"/>
      <c r="H5" s="25"/>
      <c r="I5" s="25"/>
      <c r="J5" s="1"/>
      <c r="K5" s="1"/>
      <c r="L5" s="1"/>
      <c r="M5" s="1"/>
    </row>
    <row r="6" spans="1:13">
      <c r="A6" s="25" t="s">
        <v>405</v>
      </c>
      <c r="B6" s="25"/>
      <c r="C6" s="25"/>
      <c r="D6" s="25"/>
      <c r="E6" s="25"/>
      <c r="F6" s="25"/>
      <c r="G6" s="25"/>
      <c r="H6" s="25"/>
      <c r="I6" s="25"/>
      <c r="J6" s="1"/>
      <c r="K6" s="1"/>
      <c r="L6" s="1"/>
      <c r="M6" s="1"/>
    </row>
    <row r="7" spans="1:1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32.1" customHeight="1">
      <c r="A8" s="34" t="s">
        <v>4</v>
      </c>
      <c r="B8" s="34" t="s">
        <v>406</v>
      </c>
      <c r="C8" s="34" t="s">
        <v>407</v>
      </c>
      <c r="D8" s="34" t="s">
        <v>408</v>
      </c>
      <c r="E8" s="34" t="s">
        <v>6</v>
      </c>
      <c r="F8" s="34" t="s">
        <v>409</v>
      </c>
      <c r="G8" s="34" t="s">
        <v>8</v>
      </c>
      <c r="H8" s="34" t="s">
        <v>9</v>
      </c>
      <c r="I8" s="34" t="s">
        <v>10</v>
      </c>
      <c r="J8" s="1"/>
      <c r="K8" s="38" t="s">
        <v>4</v>
      </c>
      <c r="L8" s="38" t="s">
        <v>1</v>
      </c>
      <c r="M8" s="38" t="s">
        <v>11</v>
      </c>
    </row>
    <row r="9" spans="1:13" ht="40.5" customHeight="1">
      <c r="A9" s="7">
        <v>1</v>
      </c>
      <c r="B9" s="9">
        <v>46307</v>
      </c>
      <c r="C9" s="9">
        <v>46313</v>
      </c>
      <c r="D9" s="27" t="s">
        <v>410</v>
      </c>
      <c r="E9" s="27">
        <v>1</v>
      </c>
      <c r="F9" s="8" t="s">
        <v>411</v>
      </c>
      <c r="G9" s="35" t="s">
        <v>14</v>
      </c>
      <c r="H9" s="36"/>
      <c r="I9" s="37"/>
      <c r="J9" s="1"/>
      <c r="K9" s="7">
        <v>1</v>
      </c>
      <c r="L9" s="7">
        <f t="shared" ref="L9:L40" si="0">COUNTIFS($A$9:$A$318,K9,$G$9:$G$318,"☑")</f>
        <v>0</v>
      </c>
      <c r="M9" s="22">
        <f t="shared" ref="M9:M40" si="1">L9/5</f>
        <v>0</v>
      </c>
    </row>
    <row r="10" spans="1:13" ht="40.5" customHeight="1">
      <c r="A10" s="7">
        <v>1</v>
      </c>
      <c r="B10" s="9">
        <v>46307</v>
      </c>
      <c r="C10" s="9">
        <v>46313</v>
      </c>
      <c r="D10" s="27" t="s">
        <v>410</v>
      </c>
      <c r="E10" s="27">
        <v>2</v>
      </c>
      <c r="F10" s="8" t="s">
        <v>412</v>
      </c>
      <c r="G10" s="35" t="s">
        <v>14</v>
      </c>
      <c r="H10" s="36"/>
      <c r="I10" s="37"/>
      <c r="J10" s="1"/>
      <c r="K10" s="7">
        <v>2</v>
      </c>
      <c r="L10" s="7">
        <f t="shared" si="0"/>
        <v>0</v>
      </c>
      <c r="M10" s="22">
        <f t="shared" si="1"/>
        <v>0</v>
      </c>
    </row>
    <row r="11" spans="1:13" ht="40.5" customHeight="1">
      <c r="A11" s="7">
        <v>1</v>
      </c>
      <c r="B11" s="9">
        <v>46307</v>
      </c>
      <c r="C11" s="9">
        <v>46313</v>
      </c>
      <c r="D11" s="27" t="s">
        <v>410</v>
      </c>
      <c r="E11" s="27">
        <v>3</v>
      </c>
      <c r="F11" s="8" t="s">
        <v>413</v>
      </c>
      <c r="G11" s="35" t="s">
        <v>14</v>
      </c>
      <c r="H11" s="36"/>
      <c r="I11" s="37"/>
      <c r="J11" s="1"/>
      <c r="K11" s="7">
        <v>3</v>
      </c>
      <c r="L11" s="7">
        <f t="shared" si="0"/>
        <v>0</v>
      </c>
      <c r="M11" s="22">
        <f t="shared" si="1"/>
        <v>0</v>
      </c>
    </row>
    <row r="12" spans="1:13" ht="40.5" customHeight="1">
      <c r="A12" s="7">
        <v>1</v>
      </c>
      <c r="B12" s="9">
        <v>46307</v>
      </c>
      <c r="C12" s="9">
        <v>46313</v>
      </c>
      <c r="D12" s="27" t="s">
        <v>410</v>
      </c>
      <c r="E12" s="27">
        <v>4</v>
      </c>
      <c r="F12" s="8" t="s">
        <v>414</v>
      </c>
      <c r="G12" s="35" t="s">
        <v>14</v>
      </c>
      <c r="H12" s="36"/>
      <c r="I12" s="37"/>
      <c r="J12" s="1"/>
      <c r="K12" s="7">
        <v>4</v>
      </c>
      <c r="L12" s="7">
        <f t="shared" si="0"/>
        <v>0</v>
      </c>
      <c r="M12" s="22">
        <f t="shared" si="1"/>
        <v>0</v>
      </c>
    </row>
    <row r="13" spans="1:13" ht="40.5" customHeight="1">
      <c r="A13" s="7">
        <v>1</v>
      </c>
      <c r="B13" s="9">
        <v>46307</v>
      </c>
      <c r="C13" s="9">
        <v>46313</v>
      </c>
      <c r="D13" s="27" t="s">
        <v>410</v>
      </c>
      <c r="E13" s="27">
        <v>5</v>
      </c>
      <c r="F13" s="8" t="s">
        <v>415</v>
      </c>
      <c r="G13" s="35" t="s">
        <v>14</v>
      </c>
      <c r="H13" s="36"/>
      <c r="I13" s="37"/>
      <c r="J13" s="1"/>
      <c r="K13" s="7">
        <v>5</v>
      </c>
      <c r="L13" s="7">
        <f t="shared" si="0"/>
        <v>0</v>
      </c>
      <c r="M13" s="22">
        <f t="shared" si="1"/>
        <v>0</v>
      </c>
    </row>
    <row r="14" spans="1:13" ht="40.5" customHeight="1">
      <c r="A14" s="7">
        <v>2</v>
      </c>
      <c r="B14" s="9">
        <v>46314</v>
      </c>
      <c r="C14" s="9">
        <v>46320</v>
      </c>
      <c r="D14" s="27" t="s">
        <v>410</v>
      </c>
      <c r="E14" s="27">
        <v>1</v>
      </c>
      <c r="F14" s="8" t="s">
        <v>411</v>
      </c>
      <c r="G14" s="35" t="s">
        <v>14</v>
      </c>
      <c r="H14" s="36"/>
      <c r="I14" s="37"/>
      <c r="J14" s="1"/>
      <c r="K14" s="7">
        <v>6</v>
      </c>
      <c r="L14" s="7">
        <f t="shared" si="0"/>
        <v>0</v>
      </c>
      <c r="M14" s="22">
        <f t="shared" si="1"/>
        <v>0</v>
      </c>
    </row>
    <row r="15" spans="1:13" ht="40.5" customHeight="1">
      <c r="A15" s="7">
        <v>2</v>
      </c>
      <c r="B15" s="9">
        <v>46314</v>
      </c>
      <c r="C15" s="9">
        <v>46320</v>
      </c>
      <c r="D15" s="27" t="s">
        <v>410</v>
      </c>
      <c r="E15" s="27">
        <v>2</v>
      </c>
      <c r="F15" s="8" t="s">
        <v>416</v>
      </c>
      <c r="G15" s="35" t="s">
        <v>14</v>
      </c>
      <c r="H15" s="36"/>
      <c r="I15" s="37"/>
      <c r="J15" s="1"/>
      <c r="K15" s="7">
        <v>7</v>
      </c>
      <c r="L15" s="7">
        <f t="shared" si="0"/>
        <v>0</v>
      </c>
      <c r="M15" s="22">
        <f t="shared" si="1"/>
        <v>0</v>
      </c>
    </row>
    <row r="16" spans="1:13" ht="40.5" customHeight="1">
      <c r="A16" s="7">
        <v>2</v>
      </c>
      <c r="B16" s="9">
        <v>46314</v>
      </c>
      <c r="C16" s="9">
        <v>46320</v>
      </c>
      <c r="D16" s="27" t="s">
        <v>410</v>
      </c>
      <c r="E16" s="27">
        <v>3</v>
      </c>
      <c r="F16" s="8" t="s">
        <v>413</v>
      </c>
      <c r="G16" s="35" t="s">
        <v>14</v>
      </c>
      <c r="H16" s="36"/>
      <c r="I16" s="37"/>
      <c r="J16" s="1"/>
      <c r="K16" s="7">
        <v>8</v>
      </c>
      <c r="L16" s="7">
        <f t="shared" si="0"/>
        <v>0</v>
      </c>
      <c r="M16" s="22">
        <f t="shared" si="1"/>
        <v>0</v>
      </c>
    </row>
    <row r="17" spans="1:13" ht="40.5" customHeight="1">
      <c r="A17" s="7">
        <v>2</v>
      </c>
      <c r="B17" s="9">
        <v>46314</v>
      </c>
      <c r="C17" s="9">
        <v>46320</v>
      </c>
      <c r="D17" s="27" t="s">
        <v>410</v>
      </c>
      <c r="E17" s="27">
        <v>4</v>
      </c>
      <c r="F17" s="8" t="s">
        <v>414</v>
      </c>
      <c r="G17" s="35" t="s">
        <v>14</v>
      </c>
      <c r="H17" s="36"/>
      <c r="I17" s="37"/>
      <c r="J17" s="1"/>
      <c r="K17" s="7">
        <v>9</v>
      </c>
      <c r="L17" s="7">
        <f t="shared" si="0"/>
        <v>0</v>
      </c>
      <c r="M17" s="22">
        <f t="shared" si="1"/>
        <v>0</v>
      </c>
    </row>
    <row r="18" spans="1:13" ht="40.5" customHeight="1">
      <c r="A18" s="7">
        <v>2</v>
      </c>
      <c r="B18" s="9">
        <v>46314</v>
      </c>
      <c r="C18" s="9">
        <v>46320</v>
      </c>
      <c r="D18" s="27" t="s">
        <v>410</v>
      </c>
      <c r="E18" s="27">
        <v>5</v>
      </c>
      <c r="F18" s="8" t="s">
        <v>415</v>
      </c>
      <c r="G18" s="35" t="s">
        <v>14</v>
      </c>
      <c r="H18" s="36"/>
      <c r="I18" s="37"/>
      <c r="J18" s="1"/>
      <c r="K18" s="7">
        <v>10</v>
      </c>
      <c r="L18" s="7">
        <f t="shared" si="0"/>
        <v>0</v>
      </c>
      <c r="M18" s="22">
        <f t="shared" si="1"/>
        <v>0</v>
      </c>
    </row>
    <row r="19" spans="1:13" ht="40.5" customHeight="1">
      <c r="A19" s="7">
        <v>3</v>
      </c>
      <c r="B19" s="9">
        <v>46321</v>
      </c>
      <c r="C19" s="9">
        <v>46327</v>
      </c>
      <c r="D19" s="27" t="s">
        <v>410</v>
      </c>
      <c r="E19" s="27">
        <v>1</v>
      </c>
      <c r="F19" s="8" t="s">
        <v>411</v>
      </c>
      <c r="G19" s="35" t="s">
        <v>14</v>
      </c>
      <c r="H19" s="36"/>
      <c r="I19" s="37"/>
      <c r="J19" s="1"/>
      <c r="K19" s="7">
        <v>11</v>
      </c>
      <c r="L19" s="7">
        <f t="shared" si="0"/>
        <v>0</v>
      </c>
      <c r="M19" s="22">
        <f t="shared" si="1"/>
        <v>0</v>
      </c>
    </row>
    <row r="20" spans="1:13" ht="40.5" customHeight="1">
      <c r="A20" s="7">
        <v>3</v>
      </c>
      <c r="B20" s="9">
        <v>46321</v>
      </c>
      <c r="C20" s="9">
        <v>46327</v>
      </c>
      <c r="D20" s="27" t="s">
        <v>410</v>
      </c>
      <c r="E20" s="27">
        <v>2</v>
      </c>
      <c r="F20" s="8" t="s">
        <v>417</v>
      </c>
      <c r="G20" s="35" t="s">
        <v>14</v>
      </c>
      <c r="H20" s="36"/>
      <c r="I20" s="37"/>
      <c r="J20" s="1"/>
      <c r="K20" s="7">
        <v>12</v>
      </c>
      <c r="L20" s="7">
        <f t="shared" si="0"/>
        <v>0</v>
      </c>
      <c r="M20" s="22">
        <f t="shared" si="1"/>
        <v>0</v>
      </c>
    </row>
    <row r="21" spans="1:13" ht="40.5" customHeight="1">
      <c r="A21" s="7">
        <v>3</v>
      </c>
      <c r="B21" s="9">
        <v>46321</v>
      </c>
      <c r="C21" s="9">
        <v>46327</v>
      </c>
      <c r="D21" s="27" t="s">
        <v>410</v>
      </c>
      <c r="E21" s="27">
        <v>3</v>
      </c>
      <c r="F21" s="8" t="s">
        <v>413</v>
      </c>
      <c r="G21" s="35" t="s">
        <v>14</v>
      </c>
      <c r="H21" s="36"/>
      <c r="I21" s="37"/>
      <c r="J21" s="1"/>
      <c r="K21" s="7">
        <v>13</v>
      </c>
      <c r="L21" s="7">
        <f t="shared" si="0"/>
        <v>0</v>
      </c>
      <c r="M21" s="22">
        <f t="shared" si="1"/>
        <v>0</v>
      </c>
    </row>
    <row r="22" spans="1:13" ht="40.5" customHeight="1">
      <c r="A22" s="7">
        <v>3</v>
      </c>
      <c r="B22" s="9">
        <v>46321</v>
      </c>
      <c r="C22" s="9">
        <v>46327</v>
      </c>
      <c r="D22" s="27" t="s">
        <v>410</v>
      </c>
      <c r="E22" s="27">
        <v>4</v>
      </c>
      <c r="F22" s="8" t="s">
        <v>414</v>
      </c>
      <c r="G22" s="35" t="s">
        <v>14</v>
      </c>
      <c r="H22" s="36"/>
      <c r="I22" s="37"/>
      <c r="J22" s="1"/>
      <c r="K22" s="7">
        <v>14</v>
      </c>
      <c r="L22" s="7">
        <f t="shared" si="0"/>
        <v>0</v>
      </c>
      <c r="M22" s="22">
        <f t="shared" si="1"/>
        <v>0</v>
      </c>
    </row>
    <row r="23" spans="1:13" ht="40.5" customHeight="1">
      <c r="A23" s="7">
        <v>3</v>
      </c>
      <c r="B23" s="9">
        <v>46321</v>
      </c>
      <c r="C23" s="9">
        <v>46327</v>
      </c>
      <c r="D23" s="27" t="s">
        <v>410</v>
      </c>
      <c r="E23" s="27">
        <v>5</v>
      </c>
      <c r="F23" s="8" t="s">
        <v>415</v>
      </c>
      <c r="G23" s="35" t="s">
        <v>14</v>
      </c>
      <c r="H23" s="36"/>
      <c r="I23" s="37"/>
      <c r="J23" s="1"/>
      <c r="K23" s="7">
        <v>15</v>
      </c>
      <c r="L23" s="7">
        <f t="shared" si="0"/>
        <v>0</v>
      </c>
      <c r="M23" s="22">
        <f t="shared" si="1"/>
        <v>0</v>
      </c>
    </row>
    <row r="24" spans="1:13" ht="40.5" customHeight="1">
      <c r="A24" s="7">
        <v>4</v>
      </c>
      <c r="B24" s="9">
        <v>46328</v>
      </c>
      <c r="C24" s="9">
        <v>46334</v>
      </c>
      <c r="D24" s="27" t="s">
        <v>410</v>
      </c>
      <c r="E24" s="27">
        <v>1</v>
      </c>
      <c r="F24" s="8" t="s">
        <v>411</v>
      </c>
      <c r="G24" s="35" t="s">
        <v>14</v>
      </c>
      <c r="H24" s="36"/>
      <c r="I24" s="37"/>
      <c r="J24" s="1"/>
      <c r="K24" s="7">
        <v>16</v>
      </c>
      <c r="L24" s="7">
        <f t="shared" si="0"/>
        <v>0</v>
      </c>
      <c r="M24" s="22">
        <f t="shared" si="1"/>
        <v>0</v>
      </c>
    </row>
    <row r="25" spans="1:13" ht="40.5" customHeight="1">
      <c r="A25" s="7">
        <v>4</v>
      </c>
      <c r="B25" s="9">
        <v>46328</v>
      </c>
      <c r="C25" s="9">
        <v>46334</v>
      </c>
      <c r="D25" s="27" t="s">
        <v>410</v>
      </c>
      <c r="E25" s="27">
        <v>2</v>
      </c>
      <c r="F25" s="8" t="s">
        <v>418</v>
      </c>
      <c r="G25" s="35" t="s">
        <v>14</v>
      </c>
      <c r="H25" s="36"/>
      <c r="I25" s="37"/>
      <c r="J25" s="1"/>
      <c r="K25" s="7">
        <v>17</v>
      </c>
      <c r="L25" s="7">
        <f t="shared" si="0"/>
        <v>0</v>
      </c>
      <c r="M25" s="22">
        <f t="shared" si="1"/>
        <v>0</v>
      </c>
    </row>
    <row r="26" spans="1:13" ht="40.5" customHeight="1">
      <c r="A26" s="7">
        <v>4</v>
      </c>
      <c r="B26" s="9">
        <v>46328</v>
      </c>
      <c r="C26" s="9">
        <v>46334</v>
      </c>
      <c r="D26" s="27" t="s">
        <v>410</v>
      </c>
      <c r="E26" s="27">
        <v>3</v>
      </c>
      <c r="F26" s="8" t="s">
        <v>413</v>
      </c>
      <c r="G26" s="35" t="s">
        <v>14</v>
      </c>
      <c r="H26" s="36"/>
      <c r="I26" s="37"/>
      <c r="J26" s="1"/>
      <c r="K26" s="7">
        <v>18</v>
      </c>
      <c r="L26" s="7">
        <f t="shared" si="0"/>
        <v>0</v>
      </c>
      <c r="M26" s="22">
        <f t="shared" si="1"/>
        <v>0</v>
      </c>
    </row>
    <row r="27" spans="1:13" ht="40.5" customHeight="1">
      <c r="A27" s="7">
        <v>4</v>
      </c>
      <c r="B27" s="9">
        <v>46328</v>
      </c>
      <c r="C27" s="9">
        <v>46334</v>
      </c>
      <c r="D27" s="27" t="s">
        <v>410</v>
      </c>
      <c r="E27" s="27">
        <v>4</v>
      </c>
      <c r="F27" s="8" t="s">
        <v>414</v>
      </c>
      <c r="G27" s="35" t="s">
        <v>14</v>
      </c>
      <c r="H27" s="36"/>
      <c r="I27" s="37"/>
      <c r="J27" s="1"/>
      <c r="K27" s="7">
        <v>19</v>
      </c>
      <c r="L27" s="7">
        <f t="shared" si="0"/>
        <v>0</v>
      </c>
      <c r="M27" s="22">
        <f t="shared" si="1"/>
        <v>0</v>
      </c>
    </row>
    <row r="28" spans="1:13" ht="40.5" customHeight="1">
      <c r="A28" s="7">
        <v>4</v>
      </c>
      <c r="B28" s="9">
        <v>46328</v>
      </c>
      <c r="C28" s="9">
        <v>46334</v>
      </c>
      <c r="D28" s="27" t="s">
        <v>410</v>
      </c>
      <c r="E28" s="27">
        <v>5</v>
      </c>
      <c r="F28" s="8" t="s">
        <v>415</v>
      </c>
      <c r="G28" s="35" t="s">
        <v>14</v>
      </c>
      <c r="H28" s="36"/>
      <c r="I28" s="37"/>
      <c r="J28" s="1"/>
      <c r="K28" s="7">
        <v>20</v>
      </c>
      <c r="L28" s="7">
        <f t="shared" si="0"/>
        <v>0</v>
      </c>
      <c r="M28" s="22">
        <f t="shared" si="1"/>
        <v>0</v>
      </c>
    </row>
    <row r="29" spans="1:13" ht="40.5" customHeight="1">
      <c r="A29" s="7">
        <v>5</v>
      </c>
      <c r="B29" s="9">
        <v>46335</v>
      </c>
      <c r="C29" s="9">
        <v>46341</v>
      </c>
      <c r="D29" s="27" t="s">
        <v>410</v>
      </c>
      <c r="E29" s="27">
        <v>1</v>
      </c>
      <c r="F29" s="8" t="s">
        <v>411</v>
      </c>
      <c r="G29" s="35" t="s">
        <v>14</v>
      </c>
      <c r="H29" s="36"/>
      <c r="I29" s="37"/>
      <c r="J29" s="1"/>
      <c r="K29" s="7">
        <v>21</v>
      </c>
      <c r="L29" s="7">
        <f t="shared" si="0"/>
        <v>0</v>
      </c>
      <c r="M29" s="22">
        <f t="shared" si="1"/>
        <v>0</v>
      </c>
    </row>
    <row r="30" spans="1:13" ht="40.5" customHeight="1">
      <c r="A30" s="7">
        <v>5</v>
      </c>
      <c r="B30" s="9">
        <v>46335</v>
      </c>
      <c r="C30" s="9">
        <v>46341</v>
      </c>
      <c r="D30" s="27" t="s">
        <v>410</v>
      </c>
      <c r="E30" s="27">
        <v>2</v>
      </c>
      <c r="F30" s="8" t="s">
        <v>419</v>
      </c>
      <c r="G30" s="35" t="s">
        <v>14</v>
      </c>
      <c r="H30" s="36"/>
      <c r="I30" s="37"/>
      <c r="J30" s="1"/>
      <c r="K30" s="7">
        <v>22</v>
      </c>
      <c r="L30" s="7">
        <f t="shared" si="0"/>
        <v>0</v>
      </c>
      <c r="M30" s="22">
        <f t="shared" si="1"/>
        <v>0</v>
      </c>
    </row>
    <row r="31" spans="1:13" ht="40.5" customHeight="1">
      <c r="A31" s="7">
        <v>5</v>
      </c>
      <c r="B31" s="9">
        <v>46335</v>
      </c>
      <c r="C31" s="9">
        <v>46341</v>
      </c>
      <c r="D31" s="27" t="s">
        <v>410</v>
      </c>
      <c r="E31" s="27">
        <v>3</v>
      </c>
      <c r="F31" s="8" t="s">
        <v>413</v>
      </c>
      <c r="G31" s="35" t="s">
        <v>14</v>
      </c>
      <c r="H31" s="36"/>
      <c r="I31" s="37"/>
      <c r="J31" s="1"/>
      <c r="K31" s="7">
        <v>23</v>
      </c>
      <c r="L31" s="7">
        <f t="shared" si="0"/>
        <v>0</v>
      </c>
      <c r="M31" s="22">
        <f t="shared" si="1"/>
        <v>0</v>
      </c>
    </row>
    <row r="32" spans="1:13" ht="40.5" customHeight="1">
      <c r="A32" s="7">
        <v>5</v>
      </c>
      <c r="B32" s="9">
        <v>46335</v>
      </c>
      <c r="C32" s="9">
        <v>46341</v>
      </c>
      <c r="D32" s="27" t="s">
        <v>410</v>
      </c>
      <c r="E32" s="27">
        <v>4</v>
      </c>
      <c r="F32" s="8" t="s">
        <v>414</v>
      </c>
      <c r="G32" s="35" t="s">
        <v>14</v>
      </c>
      <c r="H32" s="36"/>
      <c r="I32" s="37"/>
      <c r="J32" s="1"/>
      <c r="K32" s="7">
        <v>24</v>
      </c>
      <c r="L32" s="7">
        <f t="shared" si="0"/>
        <v>0</v>
      </c>
      <c r="M32" s="22">
        <f t="shared" si="1"/>
        <v>0</v>
      </c>
    </row>
    <row r="33" spans="1:13" ht="40.5" customHeight="1">
      <c r="A33" s="7">
        <v>5</v>
      </c>
      <c r="B33" s="9">
        <v>46335</v>
      </c>
      <c r="C33" s="9">
        <v>46341</v>
      </c>
      <c r="D33" s="27" t="s">
        <v>410</v>
      </c>
      <c r="E33" s="27">
        <v>5</v>
      </c>
      <c r="F33" s="8" t="s">
        <v>415</v>
      </c>
      <c r="G33" s="35" t="s">
        <v>14</v>
      </c>
      <c r="H33" s="36"/>
      <c r="I33" s="37"/>
      <c r="J33" s="1"/>
      <c r="K33" s="7">
        <v>25</v>
      </c>
      <c r="L33" s="7">
        <f t="shared" si="0"/>
        <v>0</v>
      </c>
      <c r="M33" s="22">
        <f t="shared" si="1"/>
        <v>0</v>
      </c>
    </row>
    <row r="34" spans="1:13" ht="40.5" customHeight="1">
      <c r="A34" s="7">
        <v>6</v>
      </c>
      <c r="B34" s="9">
        <v>46342</v>
      </c>
      <c r="C34" s="9">
        <v>46348</v>
      </c>
      <c r="D34" s="27" t="s">
        <v>410</v>
      </c>
      <c r="E34" s="27">
        <v>1</v>
      </c>
      <c r="F34" s="8" t="s">
        <v>411</v>
      </c>
      <c r="G34" s="35" t="s">
        <v>14</v>
      </c>
      <c r="H34" s="36"/>
      <c r="I34" s="37"/>
      <c r="J34" s="1"/>
      <c r="K34" s="7">
        <v>26</v>
      </c>
      <c r="L34" s="7">
        <f t="shared" si="0"/>
        <v>0</v>
      </c>
      <c r="M34" s="22">
        <f t="shared" si="1"/>
        <v>0</v>
      </c>
    </row>
    <row r="35" spans="1:13" ht="40.5" customHeight="1">
      <c r="A35" s="7">
        <v>6</v>
      </c>
      <c r="B35" s="9">
        <v>46342</v>
      </c>
      <c r="C35" s="9">
        <v>46348</v>
      </c>
      <c r="D35" s="27" t="s">
        <v>410</v>
      </c>
      <c r="E35" s="27">
        <v>2</v>
      </c>
      <c r="F35" s="8" t="s">
        <v>420</v>
      </c>
      <c r="G35" s="35" t="s">
        <v>14</v>
      </c>
      <c r="H35" s="36"/>
      <c r="I35" s="37"/>
      <c r="J35" s="1"/>
      <c r="K35" s="7">
        <v>27</v>
      </c>
      <c r="L35" s="7">
        <f t="shared" si="0"/>
        <v>0</v>
      </c>
      <c r="M35" s="22">
        <f t="shared" si="1"/>
        <v>0</v>
      </c>
    </row>
    <row r="36" spans="1:13" ht="40.5" customHeight="1">
      <c r="A36" s="7">
        <v>6</v>
      </c>
      <c r="B36" s="9">
        <v>46342</v>
      </c>
      <c r="C36" s="9">
        <v>46348</v>
      </c>
      <c r="D36" s="27" t="s">
        <v>410</v>
      </c>
      <c r="E36" s="27">
        <v>3</v>
      </c>
      <c r="F36" s="8" t="s">
        <v>413</v>
      </c>
      <c r="G36" s="35" t="s">
        <v>14</v>
      </c>
      <c r="H36" s="36"/>
      <c r="I36" s="37"/>
      <c r="J36" s="1"/>
      <c r="K36" s="7">
        <v>28</v>
      </c>
      <c r="L36" s="7">
        <f t="shared" si="0"/>
        <v>0</v>
      </c>
      <c r="M36" s="22">
        <f t="shared" si="1"/>
        <v>0</v>
      </c>
    </row>
    <row r="37" spans="1:13" ht="40.5" customHeight="1">
      <c r="A37" s="7">
        <v>6</v>
      </c>
      <c r="B37" s="9">
        <v>46342</v>
      </c>
      <c r="C37" s="9">
        <v>46348</v>
      </c>
      <c r="D37" s="27" t="s">
        <v>410</v>
      </c>
      <c r="E37" s="27">
        <v>4</v>
      </c>
      <c r="F37" s="8" t="s">
        <v>414</v>
      </c>
      <c r="G37" s="35" t="s">
        <v>14</v>
      </c>
      <c r="H37" s="36"/>
      <c r="I37" s="37"/>
      <c r="J37" s="1"/>
      <c r="K37" s="7">
        <v>29</v>
      </c>
      <c r="L37" s="7">
        <f t="shared" si="0"/>
        <v>0</v>
      </c>
      <c r="M37" s="22">
        <f t="shared" si="1"/>
        <v>0</v>
      </c>
    </row>
    <row r="38" spans="1:13" ht="40.5" customHeight="1">
      <c r="A38" s="7">
        <v>6</v>
      </c>
      <c r="B38" s="9">
        <v>46342</v>
      </c>
      <c r="C38" s="9">
        <v>46348</v>
      </c>
      <c r="D38" s="27" t="s">
        <v>410</v>
      </c>
      <c r="E38" s="27">
        <v>5</v>
      </c>
      <c r="F38" s="8" t="s">
        <v>415</v>
      </c>
      <c r="G38" s="35" t="s">
        <v>14</v>
      </c>
      <c r="H38" s="36"/>
      <c r="I38" s="37"/>
      <c r="J38" s="1"/>
      <c r="K38" s="7">
        <v>30</v>
      </c>
      <c r="L38" s="7">
        <f t="shared" si="0"/>
        <v>0</v>
      </c>
      <c r="M38" s="22">
        <f t="shared" si="1"/>
        <v>0</v>
      </c>
    </row>
    <row r="39" spans="1:13" ht="40.5" customHeight="1">
      <c r="A39" s="7">
        <v>7</v>
      </c>
      <c r="B39" s="9">
        <v>46349</v>
      </c>
      <c r="C39" s="9">
        <v>46355</v>
      </c>
      <c r="D39" s="27" t="s">
        <v>410</v>
      </c>
      <c r="E39" s="27">
        <v>1</v>
      </c>
      <c r="F39" s="8" t="s">
        <v>411</v>
      </c>
      <c r="G39" s="35" t="s">
        <v>14</v>
      </c>
      <c r="H39" s="36"/>
      <c r="I39" s="37"/>
      <c r="J39" s="1"/>
      <c r="K39" s="7">
        <v>31</v>
      </c>
      <c r="L39" s="7">
        <f t="shared" si="0"/>
        <v>0</v>
      </c>
      <c r="M39" s="22">
        <f t="shared" si="1"/>
        <v>0</v>
      </c>
    </row>
    <row r="40" spans="1:13" ht="40.5" customHeight="1">
      <c r="A40" s="7">
        <v>7</v>
      </c>
      <c r="B40" s="9">
        <v>46349</v>
      </c>
      <c r="C40" s="9">
        <v>46355</v>
      </c>
      <c r="D40" s="27" t="s">
        <v>410</v>
      </c>
      <c r="E40" s="27">
        <v>2</v>
      </c>
      <c r="F40" s="8" t="s">
        <v>421</v>
      </c>
      <c r="G40" s="35" t="s">
        <v>14</v>
      </c>
      <c r="H40" s="36"/>
      <c r="I40" s="37"/>
      <c r="J40" s="1"/>
      <c r="K40" s="7">
        <v>32</v>
      </c>
      <c r="L40" s="7">
        <f t="shared" si="0"/>
        <v>0</v>
      </c>
      <c r="M40" s="22">
        <f t="shared" si="1"/>
        <v>0</v>
      </c>
    </row>
    <row r="41" spans="1:13" ht="40.5" customHeight="1">
      <c r="A41" s="7">
        <v>7</v>
      </c>
      <c r="B41" s="9">
        <v>46349</v>
      </c>
      <c r="C41" s="9">
        <v>46355</v>
      </c>
      <c r="D41" s="27" t="s">
        <v>410</v>
      </c>
      <c r="E41" s="27">
        <v>3</v>
      </c>
      <c r="F41" s="8" t="s">
        <v>413</v>
      </c>
      <c r="G41" s="35" t="s">
        <v>14</v>
      </c>
      <c r="H41" s="36"/>
      <c r="I41" s="37"/>
      <c r="J41" s="1"/>
      <c r="K41" s="7">
        <v>33</v>
      </c>
      <c r="L41" s="7">
        <f t="shared" ref="L41:L70" si="2">COUNTIFS($A$9:$A$318,K41,$G$9:$G$318,"☑")</f>
        <v>0</v>
      </c>
      <c r="M41" s="22">
        <f t="shared" ref="M41:M70" si="3">L41/5</f>
        <v>0</v>
      </c>
    </row>
    <row r="42" spans="1:13" ht="40.5" customHeight="1">
      <c r="A42" s="7">
        <v>7</v>
      </c>
      <c r="B42" s="9">
        <v>46349</v>
      </c>
      <c r="C42" s="9">
        <v>46355</v>
      </c>
      <c r="D42" s="27" t="s">
        <v>410</v>
      </c>
      <c r="E42" s="27">
        <v>4</v>
      </c>
      <c r="F42" s="8" t="s">
        <v>414</v>
      </c>
      <c r="G42" s="35" t="s">
        <v>14</v>
      </c>
      <c r="H42" s="36"/>
      <c r="I42" s="37"/>
      <c r="J42" s="1"/>
      <c r="K42" s="7">
        <v>34</v>
      </c>
      <c r="L42" s="7">
        <f t="shared" si="2"/>
        <v>0</v>
      </c>
      <c r="M42" s="22">
        <f t="shared" si="3"/>
        <v>0</v>
      </c>
    </row>
    <row r="43" spans="1:13" ht="40.5" customHeight="1">
      <c r="A43" s="7">
        <v>7</v>
      </c>
      <c r="B43" s="9">
        <v>46349</v>
      </c>
      <c r="C43" s="9">
        <v>46355</v>
      </c>
      <c r="D43" s="27" t="s">
        <v>410</v>
      </c>
      <c r="E43" s="27">
        <v>5</v>
      </c>
      <c r="F43" s="8" t="s">
        <v>415</v>
      </c>
      <c r="G43" s="35" t="s">
        <v>14</v>
      </c>
      <c r="H43" s="36"/>
      <c r="I43" s="37"/>
      <c r="J43" s="1"/>
      <c r="K43" s="7">
        <v>35</v>
      </c>
      <c r="L43" s="7">
        <f t="shared" si="2"/>
        <v>0</v>
      </c>
      <c r="M43" s="22">
        <f t="shared" si="3"/>
        <v>0</v>
      </c>
    </row>
    <row r="44" spans="1:13" ht="40.5" customHeight="1">
      <c r="A44" s="7">
        <v>8</v>
      </c>
      <c r="B44" s="9">
        <v>46356</v>
      </c>
      <c r="C44" s="9">
        <v>46362</v>
      </c>
      <c r="D44" s="27" t="s">
        <v>410</v>
      </c>
      <c r="E44" s="27">
        <v>1</v>
      </c>
      <c r="F44" s="8" t="s">
        <v>411</v>
      </c>
      <c r="G44" s="35" t="s">
        <v>14</v>
      </c>
      <c r="H44" s="36"/>
      <c r="I44" s="37"/>
      <c r="J44" s="1"/>
      <c r="K44" s="7">
        <v>36</v>
      </c>
      <c r="L44" s="7">
        <f t="shared" si="2"/>
        <v>0</v>
      </c>
      <c r="M44" s="22">
        <f t="shared" si="3"/>
        <v>0</v>
      </c>
    </row>
    <row r="45" spans="1:13" ht="40.5" customHeight="1">
      <c r="A45" s="7">
        <v>8</v>
      </c>
      <c r="B45" s="9">
        <v>46356</v>
      </c>
      <c r="C45" s="9">
        <v>46362</v>
      </c>
      <c r="D45" s="27" t="s">
        <v>410</v>
      </c>
      <c r="E45" s="27">
        <v>2</v>
      </c>
      <c r="F45" s="8" t="s">
        <v>422</v>
      </c>
      <c r="G45" s="35" t="s">
        <v>14</v>
      </c>
      <c r="H45" s="36"/>
      <c r="I45" s="37"/>
      <c r="J45" s="1"/>
      <c r="K45" s="7">
        <v>37</v>
      </c>
      <c r="L45" s="7">
        <f t="shared" si="2"/>
        <v>0</v>
      </c>
      <c r="M45" s="22">
        <f t="shared" si="3"/>
        <v>0</v>
      </c>
    </row>
    <row r="46" spans="1:13" ht="40.5" customHeight="1">
      <c r="A46" s="7">
        <v>8</v>
      </c>
      <c r="B46" s="9">
        <v>46356</v>
      </c>
      <c r="C46" s="9">
        <v>46362</v>
      </c>
      <c r="D46" s="27" t="s">
        <v>410</v>
      </c>
      <c r="E46" s="27">
        <v>3</v>
      </c>
      <c r="F46" s="8" t="s">
        <v>413</v>
      </c>
      <c r="G46" s="35" t="s">
        <v>14</v>
      </c>
      <c r="H46" s="36"/>
      <c r="I46" s="37"/>
      <c r="J46" s="1"/>
      <c r="K46" s="7">
        <v>38</v>
      </c>
      <c r="L46" s="7">
        <f t="shared" si="2"/>
        <v>0</v>
      </c>
      <c r="M46" s="22">
        <f t="shared" si="3"/>
        <v>0</v>
      </c>
    </row>
    <row r="47" spans="1:13" ht="40.5" customHeight="1">
      <c r="A47" s="7">
        <v>8</v>
      </c>
      <c r="B47" s="9">
        <v>46356</v>
      </c>
      <c r="C47" s="9">
        <v>46362</v>
      </c>
      <c r="D47" s="27" t="s">
        <v>410</v>
      </c>
      <c r="E47" s="27">
        <v>4</v>
      </c>
      <c r="F47" s="8" t="s">
        <v>414</v>
      </c>
      <c r="G47" s="35" t="s">
        <v>14</v>
      </c>
      <c r="H47" s="36"/>
      <c r="I47" s="37"/>
      <c r="J47" s="1"/>
      <c r="K47" s="7">
        <v>39</v>
      </c>
      <c r="L47" s="7">
        <f t="shared" si="2"/>
        <v>0</v>
      </c>
      <c r="M47" s="22">
        <f t="shared" si="3"/>
        <v>0</v>
      </c>
    </row>
    <row r="48" spans="1:13" ht="40.5" customHeight="1">
      <c r="A48" s="7">
        <v>8</v>
      </c>
      <c r="B48" s="9">
        <v>46356</v>
      </c>
      <c r="C48" s="9">
        <v>46362</v>
      </c>
      <c r="D48" s="27" t="s">
        <v>410</v>
      </c>
      <c r="E48" s="27">
        <v>5</v>
      </c>
      <c r="F48" s="8" t="s">
        <v>415</v>
      </c>
      <c r="G48" s="35" t="s">
        <v>14</v>
      </c>
      <c r="H48" s="36"/>
      <c r="I48" s="37"/>
      <c r="J48" s="1"/>
      <c r="K48" s="7">
        <v>40</v>
      </c>
      <c r="L48" s="7">
        <f t="shared" si="2"/>
        <v>0</v>
      </c>
      <c r="M48" s="22">
        <f t="shared" si="3"/>
        <v>0</v>
      </c>
    </row>
    <row r="49" spans="1:13" ht="40.5" customHeight="1">
      <c r="A49" s="7">
        <v>9</v>
      </c>
      <c r="B49" s="9">
        <v>46363</v>
      </c>
      <c r="C49" s="9">
        <v>46369</v>
      </c>
      <c r="D49" s="27" t="s">
        <v>410</v>
      </c>
      <c r="E49" s="27">
        <v>1</v>
      </c>
      <c r="F49" s="8" t="s">
        <v>411</v>
      </c>
      <c r="G49" s="35" t="s">
        <v>14</v>
      </c>
      <c r="H49" s="36"/>
      <c r="I49" s="37"/>
      <c r="J49" s="1"/>
      <c r="K49" s="7">
        <v>41</v>
      </c>
      <c r="L49" s="7">
        <f t="shared" si="2"/>
        <v>0</v>
      </c>
      <c r="M49" s="22">
        <f t="shared" si="3"/>
        <v>0</v>
      </c>
    </row>
    <row r="50" spans="1:13" ht="40.5" customHeight="1">
      <c r="A50" s="7">
        <v>9</v>
      </c>
      <c r="B50" s="9">
        <v>46363</v>
      </c>
      <c r="C50" s="9">
        <v>46369</v>
      </c>
      <c r="D50" s="27" t="s">
        <v>410</v>
      </c>
      <c r="E50" s="27">
        <v>2</v>
      </c>
      <c r="F50" s="8" t="s">
        <v>423</v>
      </c>
      <c r="G50" s="35" t="s">
        <v>14</v>
      </c>
      <c r="H50" s="36"/>
      <c r="I50" s="37"/>
      <c r="J50" s="1"/>
      <c r="K50" s="7">
        <v>42</v>
      </c>
      <c r="L50" s="7">
        <f t="shared" si="2"/>
        <v>0</v>
      </c>
      <c r="M50" s="22">
        <f t="shared" si="3"/>
        <v>0</v>
      </c>
    </row>
    <row r="51" spans="1:13" ht="40.5" customHeight="1">
      <c r="A51" s="7">
        <v>9</v>
      </c>
      <c r="B51" s="9">
        <v>46363</v>
      </c>
      <c r="C51" s="9">
        <v>46369</v>
      </c>
      <c r="D51" s="27" t="s">
        <v>410</v>
      </c>
      <c r="E51" s="27">
        <v>3</v>
      </c>
      <c r="F51" s="8" t="s">
        <v>413</v>
      </c>
      <c r="G51" s="35" t="s">
        <v>14</v>
      </c>
      <c r="H51" s="36"/>
      <c r="I51" s="37"/>
      <c r="J51" s="1"/>
      <c r="K51" s="7">
        <v>43</v>
      </c>
      <c r="L51" s="7">
        <f t="shared" si="2"/>
        <v>0</v>
      </c>
      <c r="M51" s="22">
        <f t="shared" si="3"/>
        <v>0</v>
      </c>
    </row>
    <row r="52" spans="1:13" ht="40.5" customHeight="1">
      <c r="A52" s="7">
        <v>9</v>
      </c>
      <c r="B52" s="9">
        <v>46363</v>
      </c>
      <c r="C52" s="9">
        <v>46369</v>
      </c>
      <c r="D52" s="27" t="s">
        <v>410</v>
      </c>
      <c r="E52" s="27">
        <v>4</v>
      </c>
      <c r="F52" s="8" t="s">
        <v>414</v>
      </c>
      <c r="G52" s="35" t="s">
        <v>14</v>
      </c>
      <c r="H52" s="36"/>
      <c r="I52" s="37"/>
      <c r="J52" s="1"/>
      <c r="K52" s="7">
        <v>44</v>
      </c>
      <c r="L52" s="7">
        <f t="shared" si="2"/>
        <v>0</v>
      </c>
      <c r="M52" s="22">
        <f t="shared" si="3"/>
        <v>0</v>
      </c>
    </row>
    <row r="53" spans="1:13" ht="40.5" customHeight="1">
      <c r="A53" s="7">
        <v>9</v>
      </c>
      <c r="B53" s="9">
        <v>46363</v>
      </c>
      <c r="C53" s="9">
        <v>46369</v>
      </c>
      <c r="D53" s="27" t="s">
        <v>410</v>
      </c>
      <c r="E53" s="27">
        <v>5</v>
      </c>
      <c r="F53" s="8" t="s">
        <v>415</v>
      </c>
      <c r="G53" s="35" t="s">
        <v>14</v>
      </c>
      <c r="H53" s="36"/>
      <c r="I53" s="37"/>
      <c r="J53" s="1"/>
      <c r="K53" s="7">
        <v>45</v>
      </c>
      <c r="L53" s="7">
        <f t="shared" si="2"/>
        <v>0</v>
      </c>
      <c r="M53" s="22">
        <f t="shared" si="3"/>
        <v>0</v>
      </c>
    </row>
    <row r="54" spans="1:13" ht="40.5" customHeight="1">
      <c r="A54" s="7">
        <v>10</v>
      </c>
      <c r="B54" s="9">
        <v>46370</v>
      </c>
      <c r="C54" s="9">
        <v>46376</v>
      </c>
      <c r="D54" s="27" t="s">
        <v>410</v>
      </c>
      <c r="E54" s="27">
        <v>1</v>
      </c>
      <c r="F54" s="8" t="s">
        <v>411</v>
      </c>
      <c r="G54" s="35" t="s">
        <v>14</v>
      </c>
      <c r="H54" s="36"/>
      <c r="I54" s="37"/>
      <c r="J54" s="1"/>
      <c r="K54" s="7">
        <v>46</v>
      </c>
      <c r="L54" s="7">
        <f t="shared" si="2"/>
        <v>0</v>
      </c>
      <c r="M54" s="22">
        <f t="shared" si="3"/>
        <v>0</v>
      </c>
    </row>
    <row r="55" spans="1:13" ht="40.5" customHeight="1">
      <c r="A55" s="7">
        <v>10</v>
      </c>
      <c r="B55" s="9">
        <v>46370</v>
      </c>
      <c r="C55" s="9">
        <v>46376</v>
      </c>
      <c r="D55" s="27" t="s">
        <v>410</v>
      </c>
      <c r="E55" s="27">
        <v>2</v>
      </c>
      <c r="F55" s="8" t="s">
        <v>424</v>
      </c>
      <c r="G55" s="35" t="s">
        <v>14</v>
      </c>
      <c r="H55" s="36"/>
      <c r="I55" s="37"/>
      <c r="J55" s="1"/>
      <c r="K55" s="7">
        <v>47</v>
      </c>
      <c r="L55" s="7">
        <f t="shared" si="2"/>
        <v>0</v>
      </c>
      <c r="M55" s="22">
        <f t="shared" si="3"/>
        <v>0</v>
      </c>
    </row>
    <row r="56" spans="1:13" ht="40.5" customHeight="1">
      <c r="A56" s="7">
        <v>10</v>
      </c>
      <c r="B56" s="9">
        <v>46370</v>
      </c>
      <c r="C56" s="9">
        <v>46376</v>
      </c>
      <c r="D56" s="27" t="s">
        <v>410</v>
      </c>
      <c r="E56" s="27">
        <v>3</v>
      </c>
      <c r="F56" s="8" t="s">
        <v>413</v>
      </c>
      <c r="G56" s="35" t="s">
        <v>14</v>
      </c>
      <c r="H56" s="36"/>
      <c r="I56" s="37"/>
      <c r="J56" s="1"/>
      <c r="K56" s="7">
        <v>48</v>
      </c>
      <c r="L56" s="7">
        <f t="shared" si="2"/>
        <v>0</v>
      </c>
      <c r="M56" s="22">
        <f t="shared" si="3"/>
        <v>0</v>
      </c>
    </row>
    <row r="57" spans="1:13" ht="40.5" customHeight="1">
      <c r="A57" s="7">
        <v>10</v>
      </c>
      <c r="B57" s="9">
        <v>46370</v>
      </c>
      <c r="C57" s="9">
        <v>46376</v>
      </c>
      <c r="D57" s="27" t="s">
        <v>410</v>
      </c>
      <c r="E57" s="27">
        <v>4</v>
      </c>
      <c r="F57" s="8" t="s">
        <v>414</v>
      </c>
      <c r="G57" s="35" t="s">
        <v>14</v>
      </c>
      <c r="H57" s="36"/>
      <c r="I57" s="37"/>
      <c r="J57" s="1"/>
      <c r="K57" s="7">
        <v>49</v>
      </c>
      <c r="L57" s="7">
        <f t="shared" si="2"/>
        <v>0</v>
      </c>
      <c r="M57" s="22">
        <f t="shared" si="3"/>
        <v>0</v>
      </c>
    </row>
    <row r="58" spans="1:13" ht="40.5" customHeight="1">
      <c r="A58" s="7">
        <v>10</v>
      </c>
      <c r="B58" s="9">
        <v>46370</v>
      </c>
      <c r="C58" s="9">
        <v>46376</v>
      </c>
      <c r="D58" s="27" t="s">
        <v>410</v>
      </c>
      <c r="E58" s="27">
        <v>5</v>
      </c>
      <c r="F58" s="8" t="s">
        <v>415</v>
      </c>
      <c r="G58" s="35" t="s">
        <v>14</v>
      </c>
      <c r="H58" s="36"/>
      <c r="I58" s="37"/>
      <c r="J58" s="1"/>
      <c r="K58" s="7">
        <v>50</v>
      </c>
      <c r="L58" s="7">
        <f t="shared" si="2"/>
        <v>0</v>
      </c>
      <c r="M58" s="22">
        <f t="shared" si="3"/>
        <v>0</v>
      </c>
    </row>
    <row r="59" spans="1:13" ht="40.5" customHeight="1">
      <c r="A59" s="7">
        <v>11</v>
      </c>
      <c r="B59" s="9">
        <v>46377</v>
      </c>
      <c r="C59" s="9">
        <v>46383</v>
      </c>
      <c r="D59" s="27" t="s">
        <v>410</v>
      </c>
      <c r="E59" s="27">
        <v>1</v>
      </c>
      <c r="F59" s="8" t="s">
        <v>411</v>
      </c>
      <c r="G59" s="35" t="s">
        <v>14</v>
      </c>
      <c r="H59" s="36"/>
      <c r="I59" s="37"/>
      <c r="J59" s="1"/>
      <c r="K59" s="7">
        <v>51</v>
      </c>
      <c r="L59" s="7">
        <f t="shared" si="2"/>
        <v>0</v>
      </c>
      <c r="M59" s="22">
        <f t="shared" si="3"/>
        <v>0</v>
      </c>
    </row>
    <row r="60" spans="1:13" ht="40.5" customHeight="1">
      <c r="A60" s="7">
        <v>11</v>
      </c>
      <c r="B60" s="9">
        <v>46377</v>
      </c>
      <c r="C60" s="9">
        <v>46383</v>
      </c>
      <c r="D60" s="27" t="s">
        <v>410</v>
      </c>
      <c r="E60" s="27">
        <v>2</v>
      </c>
      <c r="F60" s="8" t="s">
        <v>425</v>
      </c>
      <c r="G60" s="35" t="s">
        <v>14</v>
      </c>
      <c r="H60" s="36"/>
      <c r="I60" s="37"/>
      <c r="J60" s="1"/>
      <c r="K60" s="7">
        <v>52</v>
      </c>
      <c r="L60" s="7">
        <f t="shared" si="2"/>
        <v>0</v>
      </c>
      <c r="M60" s="22">
        <f t="shared" si="3"/>
        <v>0</v>
      </c>
    </row>
    <row r="61" spans="1:13" ht="40.5" customHeight="1">
      <c r="A61" s="7">
        <v>11</v>
      </c>
      <c r="B61" s="9">
        <v>46377</v>
      </c>
      <c r="C61" s="9">
        <v>46383</v>
      </c>
      <c r="D61" s="27" t="s">
        <v>410</v>
      </c>
      <c r="E61" s="27">
        <v>3</v>
      </c>
      <c r="F61" s="8" t="s">
        <v>413</v>
      </c>
      <c r="G61" s="35" t="s">
        <v>14</v>
      </c>
      <c r="H61" s="36"/>
      <c r="I61" s="37"/>
      <c r="J61" s="1"/>
      <c r="K61" s="7">
        <v>53</v>
      </c>
      <c r="L61" s="7">
        <f t="shared" si="2"/>
        <v>0</v>
      </c>
      <c r="M61" s="22">
        <f t="shared" si="3"/>
        <v>0</v>
      </c>
    </row>
    <row r="62" spans="1:13" ht="40.5" customHeight="1">
      <c r="A62" s="7">
        <v>11</v>
      </c>
      <c r="B62" s="9">
        <v>46377</v>
      </c>
      <c r="C62" s="9">
        <v>46383</v>
      </c>
      <c r="D62" s="27" t="s">
        <v>410</v>
      </c>
      <c r="E62" s="27">
        <v>4</v>
      </c>
      <c r="F62" s="8" t="s">
        <v>414</v>
      </c>
      <c r="G62" s="35" t="s">
        <v>14</v>
      </c>
      <c r="H62" s="36"/>
      <c r="I62" s="37"/>
      <c r="J62" s="1"/>
      <c r="K62" s="7">
        <v>54</v>
      </c>
      <c r="L62" s="7">
        <f t="shared" si="2"/>
        <v>0</v>
      </c>
      <c r="M62" s="22">
        <f t="shared" si="3"/>
        <v>0</v>
      </c>
    </row>
    <row r="63" spans="1:13" ht="40.5" customHeight="1">
      <c r="A63" s="7">
        <v>11</v>
      </c>
      <c r="B63" s="9">
        <v>46377</v>
      </c>
      <c r="C63" s="9">
        <v>46383</v>
      </c>
      <c r="D63" s="27" t="s">
        <v>410</v>
      </c>
      <c r="E63" s="27">
        <v>5</v>
      </c>
      <c r="F63" s="8" t="s">
        <v>415</v>
      </c>
      <c r="G63" s="35" t="s">
        <v>14</v>
      </c>
      <c r="H63" s="36"/>
      <c r="I63" s="37"/>
      <c r="J63" s="1"/>
      <c r="K63" s="7">
        <v>55</v>
      </c>
      <c r="L63" s="7">
        <f t="shared" si="2"/>
        <v>0</v>
      </c>
      <c r="M63" s="22">
        <f t="shared" si="3"/>
        <v>0</v>
      </c>
    </row>
    <row r="64" spans="1:13" ht="40.5" customHeight="1">
      <c r="A64" s="7">
        <v>12</v>
      </c>
      <c r="B64" s="9">
        <v>46384</v>
      </c>
      <c r="C64" s="9">
        <v>46390</v>
      </c>
      <c r="D64" s="27" t="s">
        <v>410</v>
      </c>
      <c r="E64" s="27">
        <v>1</v>
      </c>
      <c r="F64" s="8" t="s">
        <v>411</v>
      </c>
      <c r="G64" s="35" t="s">
        <v>14</v>
      </c>
      <c r="H64" s="36"/>
      <c r="I64" s="37"/>
      <c r="J64" s="1"/>
      <c r="K64" s="7">
        <v>56</v>
      </c>
      <c r="L64" s="7">
        <f t="shared" si="2"/>
        <v>0</v>
      </c>
      <c r="M64" s="22">
        <f t="shared" si="3"/>
        <v>0</v>
      </c>
    </row>
    <row r="65" spans="1:13" ht="40.5" customHeight="1">
      <c r="A65" s="7">
        <v>12</v>
      </c>
      <c r="B65" s="9">
        <v>46384</v>
      </c>
      <c r="C65" s="9">
        <v>46390</v>
      </c>
      <c r="D65" s="27" t="s">
        <v>410</v>
      </c>
      <c r="E65" s="27">
        <v>2</v>
      </c>
      <c r="F65" s="8" t="s">
        <v>426</v>
      </c>
      <c r="G65" s="35" t="s">
        <v>14</v>
      </c>
      <c r="H65" s="36"/>
      <c r="I65" s="37"/>
      <c r="J65" s="1"/>
      <c r="K65" s="7">
        <v>57</v>
      </c>
      <c r="L65" s="7">
        <f t="shared" si="2"/>
        <v>0</v>
      </c>
      <c r="M65" s="22">
        <f t="shared" si="3"/>
        <v>0</v>
      </c>
    </row>
    <row r="66" spans="1:13" ht="40.5" customHeight="1">
      <c r="A66" s="7">
        <v>12</v>
      </c>
      <c r="B66" s="9">
        <v>46384</v>
      </c>
      <c r="C66" s="9">
        <v>46390</v>
      </c>
      <c r="D66" s="27" t="s">
        <v>410</v>
      </c>
      <c r="E66" s="27">
        <v>3</v>
      </c>
      <c r="F66" s="8" t="s">
        <v>413</v>
      </c>
      <c r="G66" s="35" t="s">
        <v>14</v>
      </c>
      <c r="H66" s="36"/>
      <c r="I66" s="37"/>
      <c r="J66" s="1"/>
      <c r="K66" s="7">
        <v>58</v>
      </c>
      <c r="L66" s="7">
        <f t="shared" si="2"/>
        <v>0</v>
      </c>
      <c r="M66" s="22">
        <f t="shared" si="3"/>
        <v>0</v>
      </c>
    </row>
    <row r="67" spans="1:13" ht="40.5" customHeight="1">
      <c r="A67" s="7">
        <v>12</v>
      </c>
      <c r="B67" s="9">
        <v>46384</v>
      </c>
      <c r="C67" s="9">
        <v>46390</v>
      </c>
      <c r="D67" s="27" t="s">
        <v>410</v>
      </c>
      <c r="E67" s="27">
        <v>4</v>
      </c>
      <c r="F67" s="8" t="s">
        <v>414</v>
      </c>
      <c r="G67" s="35" t="s">
        <v>14</v>
      </c>
      <c r="H67" s="36"/>
      <c r="I67" s="37"/>
      <c r="J67" s="1"/>
      <c r="K67" s="7">
        <v>59</v>
      </c>
      <c r="L67" s="7">
        <f t="shared" si="2"/>
        <v>0</v>
      </c>
      <c r="M67" s="22">
        <f t="shared" si="3"/>
        <v>0</v>
      </c>
    </row>
    <row r="68" spans="1:13" ht="40.5" customHeight="1">
      <c r="A68" s="7">
        <v>12</v>
      </c>
      <c r="B68" s="9">
        <v>46384</v>
      </c>
      <c r="C68" s="9">
        <v>46390</v>
      </c>
      <c r="D68" s="27" t="s">
        <v>410</v>
      </c>
      <c r="E68" s="27">
        <v>5</v>
      </c>
      <c r="F68" s="8" t="s">
        <v>415</v>
      </c>
      <c r="G68" s="35" t="s">
        <v>14</v>
      </c>
      <c r="H68" s="36"/>
      <c r="I68" s="37"/>
      <c r="J68" s="1"/>
      <c r="K68" s="7">
        <v>60</v>
      </c>
      <c r="L68" s="7">
        <f t="shared" si="2"/>
        <v>0</v>
      </c>
      <c r="M68" s="22">
        <f t="shared" si="3"/>
        <v>0</v>
      </c>
    </row>
    <row r="69" spans="1:13" ht="40.5" customHeight="1">
      <c r="A69" s="7">
        <v>13</v>
      </c>
      <c r="B69" s="9">
        <v>46391</v>
      </c>
      <c r="C69" s="9">
        <v>46397</v>
      </c>
      <c r="D69" s="27" t="s">
        <v>427</v>
      </c>
      <c r="E69" s="27">
        <v>1</v>
      </c>
      <c r="F69" s="8" t="s">
        <v>428</v>
      </c>
      <c r="G69" s="35" t="s">
        <v>14</v>
      </c>
      <c r="H69" s="36"/>
      <c r="I69" s="37"/>
      <c r="J69" s="1"/>
      <c r="K69" s="7">
        <v>61</v>
      </c>
      <c r="L69" s="7">
        <f t="shared" si="2"/>
        <v>0</v>
      </c>
      <c r="M69" s="22">
        <f t="shared" si="3"/>
        <v>0</v>
      </c>
    </row>
    <row r="70" spans="1:13" ht="40.5" customHeight="1">
      <c r="A70" s="7">
        <v>13</v>
      </c>
      <c r="B70" s="9">
        <v>46391</v>
      </c>
      <c r="C70" s="9">
        <v>46397</v>
      </c>
      <c r="D70" s="27" t="s">
        <v>427</v>
      </c>
      <c r="E70" s="27">
        <v>2</v>
      </c>
      <c r="F70" s="8" t="s">
        <v>429</v>
      </c>
      <c r="G70" s="35" t="s">
        <v>14</v>
      </c>
      <c r="H70" s="36"/>
      <c r="I70" s="37"/>
      <c r="J70" s="1"/>
      <c r="K70" s="7">
        <v>62</v>
      </c>
      <c r="L70" s="7">
        <f t="shared" si="2"/>
        <v>0</v>
      </c>
      <c r="M70" s="22">
        <f t="shared" si="3"/>
        <v>0</v>
      </c>
    </row>
    <row r="71" spans="1:13" ht="40.5" customHeight="1">
      <c r="A71" s="7">
        <v>13</v>
      </c>
      <c r="B71" s="9">
        <v>46391</v>
      </c>
      <c r="C71" s="9">
        <v>46397</v>
      </c>
      <c r="D71" s="27" t="s">
        <v>427</v>
      </c>
      <c r="E71" s="27">
        <v>3</v>
      </c>
      <c r="F71" s="8" t="s">
        <v>430</v>
      </c>
      <c r="G71" s="35" t="s">
        <v>14</v>
      </c>
      <c r="H71" s="36"/>
      <c r="I71" s="37"/>
      <c r="J71" s="1"/>
      <c r="K71" s="1"/>
      <c r="L71" s="1"/>
      <c r="M71" s="1"/>
    </row>
    <row r="72" spans="1:13" ht="40.5" customHeight="1">
      <c r="A72" s="7">
        <v>13</v>
      </c>
      <c r="B72" s="9">
        <v>46391</v>
      </c>
      <c r="C72" s="9">
        <v>46397</v>
      </c>
      <c r="D72" s="27" t="s">
        <v>427</v>
      </c>
      <c r="E72" s="27">
        <v>4</v>
      </c>
      <c r="F72" s="8" t="s">
        <v>431</v>
      </c>
      <c r="G72" s="35" t="s">
        <v>14</v>
      </c>
      <c r="H72" s="36"/>
      <c r="I72" s="37"/>
      <c r="J72" s="1"/>
      <c r="K72" s="1"/>
      <c r="L72" s="1"/>
      <c r="M72" s="1"/>
    </row>
    <row r="73" spans="1:13" ht="40.5" customHeight="1">
      <c r="A73" s="7">
        <v>13</v>
      </c>
      <c r="B73" s="9">
        <v>46391</v>
      </c>
      <c r="C73" s="9">
        <v>46397</v>
      </c>
      <c r="D73" s="27" t="s">
        <v>427</v>
      </c>
      <c r="E73" s="27">
        <v>5</v>
      </c>
      <c r="F73" s="8" t="s">
        <v>432</v>
      </c>
      <c r="G73" s="35" t="s">
        <v>14</v>
      </c>
      <c r="H73" s="36"/>
      <c r="I73" s="37"/>
      <c r="J73" s="1"/>
      <c r="K73" s="1"/>
      <c r="L73" s="1"/>
      <c r="M73" s="1"/>
    </row>
    <row r="74" spans="1:13" ht="40.5" customHeight="1">
      <c r="A74" s="7">
        <v>14</v>
      </c>
      <c r="B74" s="9">
        <v>46398</v>
      </c>
      <c r="C74" s="9">
        <v>46404</v>
      </c>
      <c r="D74" s="27" t="s">
        <v>427</v>
      </c>
      <c r="E74" s="27">
        <v>1</v>
      </c>
      <c r="F74" s="8" t="s">
        <v>428</v>
      </c>
      <c r="G74" s="35" t="s">
        <v>14</v>
      </c>
      <c r="H74" s="36"/>
      <c r="I74" s="37"/>
      <c r="J74" s="1"/>
      <c r="K74" s="46" t="s">
        <v>433</v>
      </c>
      <c r="L74" s="40"/>
      <c r="M74" s="40"/>
    </row>
    <row r="75" spans="1:13" ht="40.5" customHeight="1">
      <c r="A75" s="7">
        <v>14</v>
      </c>
      <c r="B75" s="9">
        <v>46398</v>
      </c>
      <c r="C75" s="9">
        <v>46404</v>
      </c>
      <c r="D75" s="27" t="s">
        <v>427</v>
      </c>
      <c r="E75" s="27">
        <v>2</v>
      </c>
      <c r="F75" s="8" t="s">
        <v>434</v>
      </c>
      <c r="G75" s="35" t="s">
        <v>14</v>
      </c>
      <c r="H75" s="36"/>
      <c r="I75" s="37"/>
      <c r="J75" s="1"/>
      <c r="K75" s="44" t="s">
        <v>435</v>
      </c>
      <c r="L75" s="44"/>
      <c r="M75" s="44"/>
    </row>
    <row r="76" spans="1:13" ht="40.5" customHeight="1">
      <c r="A76" s="7">
        <v>14</v>
      </c>
      <c r="B76" s="9">
        <v>46398</v>
      </c>
      <c r="C76" s="9">
        <v>46404</v>
      </c>
      <c r="D76" s="27" t="s">
        <v>427</v>
      </c>
      <c r="E76" s="27">
        <v>3</v>
      </c>
      <c r="F76" s="8" t="s">
        <v>430</v>
      </c>
      <c r="G76" s="35" t="s">
        <v>14</v>
      </c>
      <c r="H76" s="36"/>
      <c r="I76" s="37"/>
      <c r="J76" s="1"/>
      <c r="K76" s="44"/>
      <c r="L76" s="44"/>
      <c r="M76" s="44"/>
    </row>
    <row r="77" spans="1:13" ht="40.5" customHeight="1">
      <c r="A77" s="7">
        <v>14</v>
      </c>
      <c r="B77" s="9">
        <v>46398</v>
      </c>
      <c r="C77" s="9">
        <v>46404</v>
      </c>
      <c r="D77" s="27" t="s">
        <v>427</v>
      </c>
      <c r="E77" s="27">
        <v>4</v>
      </c>
      <c r="F77" s="8" t="s">
        <v>431</v>
      </c>
      <c r="G77" s="35" t="s">
        <v>14</v>
      </c>
      <c r="H77" s="36"/>
      <c r="I77" s="37"/>
      <c r="J77" s="1"/>
      <c r="K77" s="44"/>
      <c r="L77" s="44"/>
      <c r="M77" s="44"/>
    </row>
    <row r="78" spans="1:13" ht="40.5" customHeight="1">
      <c r="A78" s="7">
        <v>14</v>
      </c>
      <c r="B78" s="9">
        <v>46398</v>
      </c>
      <c r="C78" s="9">
        <v>46404</v>
      </c>
      <c r="D78" s="27" t="s">
        <v>427</v>
      </c>
      <c r="E78" s="27">
        <v>5</v>
      </c>
      <c r="F78" s="8" t="s">
        <v>432</v>
      </c>
      <c r="G78" s="35" t="s">
        <v>14</v>
      </c>
      <c r="H78" s="36"/>
      <c r="I78" s="37"/>
      <c r="J78" s="1"/>
      <c r="K78" s="44"/>
      <c r="L78" s="44"/>
      <c r="M78" s="44"/>
    </row>
    <row r="79" spans="1:13" ht="40.5" customHeight="1">
      <c r="A79" s="7">
        <v>15</v>
      </c>
      <c r="B79" s="9">
        <v>46405</v>
      </c>
      <c r="C79" s="9">
        <v>46411</v>
      </c>
      <c r="D79" s="27" t="s">
        <v>427</v>
      </c>
      <c r="E79" s="27">
        <v>1</v>
      </c>
      <c r="F79" s="8" t="s">
        <v>428</v>
      </c>
      <c r="G79" s="35" t="s">
        <v>14</v>
      </c>
      <c r="H79" s="36"/>
      <c r="I79" s="37"/>
      <c r="J79" s="1"/>
      <c r="K79" s="44"/>
      <c r="L79" s="44"/>
      <c r="M79" s="44"/>
    </row>
    <row r="80" spans="1:13" ht="40.5" customHeight="1">
      <c r="A80" s="7">
        <v>15</v>
      </c>
      <c r="B80" s="9">
        <v>46405</v>
      </c>
      <c r="C80" s="9">
        <v>46411</v>
      </c>
      <c r="D80" s="27" t="s">
        <v>427</v>
      </c>
      <c r="E80" s="27">
        <v>2</v>
      </c>
      <c r="F80" s="8" t="s">
        <v>436</v>
      </c>
      <c r="G80" s="35" t="s">
        <v>14</v>
      </c>
      <c r="H80" s="36"/>
      <c r="I80" s="37"/>
      <c r="J80" s="1"/>
      <c r="K80" s="1"/>
      <c r="L80" s="1"/>
      <c r="M80" s="1"/>
    </row>
    <row r="81" spans="1:13" ht="40.5" customHeight="1">
      <c r="A81" s="7">
        <v>15</v>
      </c>
      <c r="B81" s="9">
        <v>46405</v>
      </c>
      <c r="C81" s="9">
        <v>46411</v>
      </c>
      <c r="D81" s="27" t="s">
        <v>427</v>
      </c>
      <c r="E81" s="27">
        <v>3</v>
      </c>
      <c r="F81" s="8" t="s">
        <v>430</v>
      </c>
      <c r="G81" s="35" t="s">
        <v>14</v>
      </c>
      <c r="H81" s="36"/>
      <c r="I81" s="37"/>
      <c r="J81" s="1"/>
      <c r="K81" s="46" t="s">
        <v>437</v>
      </c>
      <c r="L81" s="40"/>
      <c r="M81" s="40"/>
    </row>
    <row r="82" spans="1:13" ht="40.5" customHeight="1">
      <c r="A82" s="7">
        <v>15</v>
      </c>
      <c r="B82" s="9">
        <v>46405</v>
      </c>
      <c r="C82" s="9">
        <v>46411</v>
      </c>
      <c r="D82" s="27" t="s">
        <v>427</v>
      </c>
      <c r="E82" s="27">
        <v>4</v>
      </c>
      <c r="F82" s="8" t="s">
        <v>431</v>
      </c>
      <c r="G82" s="35" t="s">
        <v>14</v>
      </c>
      <c r="H82" s="36"/>
      <c r="I82" s="37"/>
      <c r="J82" s="1"/>
      <c r="K82" s="44" t="s">
        <v>438</v>
      </c>
      <c r="L82" s="44"/>
      <c r="M82" s="44"/>
    </row>
    <row r="83" spans="1:13" ht="40.5" customHeight="1">
      <c r="A83" s="7">
        <v>15</v>
      </c>
      <c r="B83" s="9">
        <v>46405</v>
      </c>
      <c r="C83" s="9">
        <v>46411</v>
      </c>
      <c r="D83" s="27" t="s">
        <v>427</v>
      </c>
      <c r="E83" s="27">
        <v>5</v>
      </c>
      <c r="F83" s="8" t="s">
        <v>432</v>
      </c>
      <c r="G83" s="35" t="s">
        <v>14</v>
      </c>
      <c r="H83" s="36"/>
      <c r="I83" s="37"/>
      <c r="J83" s="1"/>
      <c r="K83" s="44"/>
      <c r="L83" s="44"/>
      <c r="M83" s="44"/>
    </row>
    <row r="84" spans="1:13" ht="40.5" customHeight="1">
      <c r="A84" s="7">
        <v>16</v>
      </c>
      <c r="B84" s="9">
        <v>46412</v>
      </c>
      <c r="C84" s="9">
        <v>46418</v>
      </c>
      <c r="D84" s="27" t="s">
        <v>427</v>
      </c>
      <c r="E84" s="27">
        <v>1</v>
      </c>
      <c r="F84" s="8" t="s">
        <v>428</v>
      </c>
      <c r="G84" s="35" t="s">
        <v>14</v>
      </c>
      <c r="H84" s="36"/>
      <c r="I84" s="37"/>
      <c r="J84" s="1"/>
      <c r="K84" s="44"/>
      <c r="L84" s="44"/>
      <c r="M84" s="44"/>
    </row>
    <row r="85" spans="1:13" ht="40.5" customHeight="1">
      <c r="A85" s="7">
        <v>16</v>
      </c>
      <c r="B85" s="9">
        <v>46412</v>
      </c>
      <c r="C85" s="9">
        <v>46418</v>
      </c>
      <c r="D85" s="27" t="s">
        <v>427</v>
      </c>
      <c r="E85" s="27">
        <v>2</v>
      </c>
      <c r="F85" s="8" t="s">
        <v>439</v>
      </c>
      <c r="G85" s="35" t="s">
        <v>14</v>
      </c>
      <c r="H85" s="36"/>
      <c r="I85" s="37"/>
      <c r="J85" s="1"/>
      <c r="K85" s="44"/>
      <c r="L85" s="44"/>
      <c r="M85" s="44"/>
    </row>
    <row r="86" spans="1:13" ht="40.5" customHeight="1">
      <c r="A86" s="7">
        <v>16</v>
      </c>
      <c r="B86" s="9">
        <v>46412</v>
      </c>
      <c r="C86" s="9">
        <v>46418</v>
      </c>
      <c r="D86" s="27" t="s">
        <v>427</v>
      </c>
      <c r="E86" s="27">
        <v>3</v>
      </c>
      <c r="F86" s="8" t="s">
        <v>430</v>
      </c>
      <c r="G86" s="35" t="s">
        <v>14</v>
      </c>
      <c r="H86" s="36"/>
      <c r="I86" s="37"/>
      <c r="J86" s="1"/>
      <c r="K86" s="44"/>
      <c r="L86" s="44"/>
      <c r="M86" s="44"/>
    </row>
    <row r="87" spans="1:13" ht="40.5" customHeight="1">
      <c r="A87" s="7">
        <v>16</v>
      </c>
      <c r="B87" s="9">
        <v>46412</v>
      </c>
      <c r="C87" s="9">
        <v>46418</v>
      </c>
      <c r="D87" s="27" t="s">
        <v>427</v>
      </c>
      <c r="E87" s="27">
        <v>4</v>
      </c>
      <c r="F87" s="8" t="s">
        <v>431</v>
      </c>
      <c r="G87" s="35" t="s">
        <v>14</v>
      </c>
      <c r="H87" s="36"/>
      <c r="I87" s="37"/>
      <c r="J87" s="1"/>
      <c r="K87" s="1"/>
      <c r="L87" s="1"/>
      <c r="M87" s="1"/>
    </row>
    <row r="88" spans="1:13" ht="40.5" customHeight="1">
      <c r="A88" s="7">
        <v>16</v>
      </c>
      <c r="B88" s="9">
        <v>46412</v>
      </c>
      <c r="C88" s="9">
        <v>46418</v>
      </c>
      <c r="D88" s="27" t="s">
        <v>427</v>
      </c>
      <c r="E88" s="27">
        <v>5</v>
      </c>
      <c r="F88" s="8" t="s">
        <v>432</v>
      </c>
      <c r="G88" s="35" t="s">
        <v>14</v>
      </c>
      <c r="H88" s="36"/>
      <c r="I88" s="37"/>
      <c r="J88" s="1"/>
      <c r="K88" s="46" t="s">
        <v>440</v>
      </c>
      <c r="L88" s="40"/>
      <c r="M88" s="40"/>
    </row>
    <row r="89" spans="1:13" ht="40.5" customHeight="1">
      <c r="A89" s="7">
        <v>17</v>
      </c>
      <c r="B89" s="9">
        <v>46419</v>
      </c>
      <c r="C89" s="9">
        <v>46425</v>
      </c>
      <c r="D89" s="27" t="s">
        <v>427</v>
      </c>
      <c r="E89" s="27">
        <v>1</v>
      </c>
      <c r="F89" s="8" t="s">
        <v>428</v>
      </c>
      <c r="G89" s="35" t="s">
        <v>14</v>
      </c>
      <c r="H89" s="36"/>
      <c r="I89" s="37"/>
      <c r="J89" s="1"/>
      <c r="K89" s="44" t="s">
        <v>441</v>
      </c>
      <c r="L89" s="44"/>
      <c r="M89" s="44"/>
    </row>
    <row r="90" spans="1:13" ht="40.5" customHeight="1">
      <c r="A90" s="7">
        <v>17</v>
      </c>
      <c r="B90" s="9">
        <v>46419</v>
      </c>
      <c r="C90" s="9">
        <v>46425</v>
      </c>
      <c r="D90" s="27" t="s">
        <v>427</v>
      </c>
      <c r="E90" s="27">
        <v>2</v>
      </c>
      <c r="F90" s="8" t="s">
        <v>442</v>
      </c>
      <c r="G90" s="35" t="s">
        <v>14</v>
      </c>
      <c r="H90" s="36"/>
      <c r="I90" s="37"/>
      <c r="J90" s="1"/>
      <c r="K90" s="44"/>
      <c r="L90" s="44"/>
      <c r="M90" s="44"/>
    </row>
    <row r="91" spans="1:13" ht="40.5" customHeight="1">
      <c r="A91" s="7">
        <v>17</v>
      </c>
      <c r="B91" s="9">
        <v>46419</v>
      </c>
      <c r="C91" s="9">
        <v>46425</v>
      </c>
      <c r="D91" s="27" t="s">
        <v>427</v>
      </c>
      <c r="E91" s="27">
        <v>3</v>
      </c>
      <c r="F91" s="8" t="s">
        <v>430</v>
      </c>
      <c r="G91" s="35" t="s">
        <v>14</v>
      </c>
      <c r="H91" s="36"/>
      <c r="I91" s="37"/>
      <c r="J91" s="1"/>
      <c r="K91" s="44"/>
      <c r="L91" s="44"/>
      <c r="M91" s="44"/>
    </row>
    <row r="92" spans="1:13" ht="40.5" customHeight="1">
      <c r="A92" s="7">
        <v>17</v>
      </c>
      <c r="B92" s="9">
        <v>46419</v>
      </c>
      <c r="C92" s="9">
        <v>46425</v>
      </c>
      <c r="D92" s="27" t="s">
        <v>427</v>
      </c>
      <c r="E92" s="27">
        <v>4</v>
      </c>
      <c r="F92" s="8" t="s">
        <v>431</v>
      </c>
      <c r="G92" s="35" t="s">
        <v>14</v>
      </c>
      <c r="H92" s="36"/>
      <c r="I92" s="37"/>
      <c r="J92" s="1"/>
      <c r="K92" s="44"/>
      <c r="L92" s="44"/>
      <c r="M92" s="44"/>
    </row>
    <row r="93" spans="1:13" ht="40.5" customHeight="1">
      <c r="A93" s="7">
        <v>17</v>
      </c>
      <c r="B93" s="9">
        <v>46419</v>
      </c>
      <c r="C93" s="9">
        <v>46425</v>
      </c>
      <c r="D93" s="27" t="s">
        <v>427</v>
      </c>
      <c r="E93" s="27">
        <v>5</v>
      </c>
      <c r="F93" s="8" t="s">
        <v>432</v>
      </c>
      <c r="G93" s="35" t="s">
        <v>14</v>
      </c>
      <c r="H93" s="36"/>
      <c r="I93" s="37"/>
      <c r="J93" s="1"/>
      <c r="K93" s="44"/>
      <c r="L93" s="44"/>
      <c r="M93" s="44"/>
    </row>
    <row r="94" spans="1:13" ht="40.5" customHeight="1">
      <c r="A94" s="7">
        <v>18</v>
      </c>
      <c r="B94" s="9">
        <v>46426</v>
      </c>
      <c r="C94" s="9">
        <v>46432</v>
      </c>
      <c r="D94" s="27" t="s">
        <v>427</v>
      </c>
      <c r="E94" s="27">
        <v>1</v>
      </c>
      <c r="F94" s="8" t="s">
        <v>428</v>
      </c>
      <c r="G94" s="35" t="s">
        <v>14</v>
      </c>
      <c r="H94" s="36"/>
      <c r="I94" s="37"/>
      <c r="J94" s="1"/>
      <c r="K94" s="1"/>
      <c r="L94" s="1"/>
      <c r="M94" s="1"/>
    </row>
    <row r="95" spans="1:13" ht="40.5" customHeight="1">
      <c r="A95" s="7">
        <v>18</v>
      </c>
      <c r="B95" s="9">
        <v>46426</v>
      </c>
      <c r="C95" s="9">
        <v>46432</v>
      </c>
      <c r="D95" s="27" t="s">
        <v>427</v>
      </c>
      <c r="E95" s="27">
        <v>2</v>
      </c>
      <c r="F95" s="8" t="s">
        <v>443</v>
      </c>
      <c r="G95" s="35" t="s">
        <v>14</v>
      </c>
      <c r="H95" s="36"/>
      <c r="I95" s="37"/>
      <c r="J95" s="1"/>
      <c r="K95" s="46" t="s">
        <v>444</v>
      </c>
      <c r="L95" s="40"/>
      <c r="M95" s="40"/>
    </row>
    <row r="96" spans="1:13" ht="40.5" customHeight="1">
      <c r="A96" s="7">
        <v>18</v>
      </c>
      <c r="B96" s="9">
        <v>46426</v>
      </c>
      <c r="C96" s="9">
        <v>46432</v>
      </c>
      <c r="D96" s="27" t="s">
        <v>427</v>
      </c>
      <c r="E96" s="27">
        <v>3</v>
      </c>
      <c r="F96" s="8" t="s">
        <v>430</v>
      </c>
      <c r="G96" s="35" t="s">
        <v>14</v>
      </c>
      <c r="H96" s="36"/>
      <c r="I96" s="37"/>
      <c r="J96" s="1"/>
      <c r="K96" s="44" t="s">
        <v>445</v>
      </c>
      <c r="L96" s="44"/>
      <c r="M96" s="44"/>
    </row>
    <row r="97" spans="1:13" ht="40.5" customHeight="1">
      <c r="A97" s="7">
        <v>18</v>
      </c>
      <c r="B97" s="9">
        <v>46426</v>
      </c>
      <c r="C97" s="9">
        <v>46432</v>
      </c>
      <c r="D97" s="27" t="s">
        <v>427</v>
      </c>
      <c r="E97" s="27">
        <v>4</v>
      </c>
      <c r="F97" s="8" t="s">
        <v>431</v>
      </c>
      <c r="G97" s="35" t="s">
        <v>14</v>
      </c>
      <c r="H97" s="36"/>
      <c r="I97" s="37"/>
      <c r="J97" s="1"/>
      <c r="K97" s="44"/>
      <c r="L97" s="44"/>
      <c r="M97" s="44"/>
    </row>
    <row r="98" spans="1:13" ht="40.5" customHeight="1">
      <c r="A98" s="7">
        <v>18</v>
      </c>
      <c r="B98" s="9">
        <v>46426</v>
      </c>
      <c r="C98" s="9">
        <v>46432</v>
      </c>
      <c r="D98" s="27" t="s">
        <v>427</v>
      </c>
      <c r="E98" s="27">
        <v>5</v>
      </c>
      <c r="F98" s="8" t="s">
        <v>432</v>
      </c>
      <c r="G98" s="35" t="s">
        <v>14</v>
      </c>
      <c r="H98" s="36"/>
      <c r="I98" s="37"/>
      <c r="J98" s="1"/>
      <c r="K98" s="44"/>
      <c r="L98" s="44"/>
      <c r="M98" s="44"/>
    </row>
    <row r="99" spans="1:13" ht="40.5" customHeight="1">
      <c r="A99" s="7">
        <v>19</v>
      </c>
      <c r="B99" s="9">
        <v>46433</v>
      </c>
      <c r="C99" s="9">
        <v>46439</v>
      </c>
      <c r="D99" s="27" t="s">
        <v>427</v>
      </c>
      <c r="E99" s="27">
        <v>1</v>
      </c>
      <c r="F99" s="8" t="s">
        <v>428</v>
      </c>
      <c r="G99" s="35" t="s">
        <v>14</v>
      </c>
      <c r="H99" s="36"/>
      <c r="I99" s="37"/>
      <c r="J99" s="1"/>
      <c r="K99" s="44"/>
      <c r="L99" s="44"/>
      <c r="M99" s="44"/>
    </row>
    <row r="100" spans="1:13" ht="40.5" customHeight="1">
      <c r="A100" s="7">
        <v>19</v>
      </c>
      <c r="B100" s="9">
        <v>46433</v>
      </c>
      <c r="C100" s="9">
        <v>46439</v>
      </c>
      <c r="D100" s="27" t="s">
        <v>427</v>
      </c>
      <c r="E100" s="27">
        <v>2</v>
      </c>
      <c r="F100" s="8" t="s">
        <v>446</v>
      </c>
      <c r="G100" s="35" t="s">
        <v>14</v>
      </c>
      <c r="H100" s="36"/>
      <c r="I100" s="37"/>
      <c r="J100" s="1"/>
      <c r="K100" s="44"/>
      <c r="L100" s="44"/>
      <c r="M100" s="44"/>
    </row>
    <row r="101" spans="1:13" ht="40.5" customHeight="1">
      <c r="A101" s="7">
        <v>19</v>
      </c>
      <c r="B101" s="9">
        <v>46433</v>
      </c>
      <c r="C101" s="9">
        <v>46439</v>
      </c>
      <c r="D101" s="27" t="s">
        <v>427</v>
      </c>
      <c r="E101" s="27">
        <v>3</v>
      </c>
      <c r="F101" s="8" t="s">
        <v>430</v>
      </c>
      <c r="G101" s="35" t="s">
        <v>14</v>
      </c>
      <c r="H101" s="36"/>
      <c r="I101" s="37"/>
      <c r="J101" s="1"/>
      <c r="K101" s="1"/>
      <c r="L101" s="1"/>
      <c r="M101" s="1"/>
    </row>
    <row r="102" spans="1:13" ht="40.5" customHeight="1">
      <c r="A102" s="7">
        <v>19</v>
      </c>
      <c r="B102" s="9">
        <v>46433</v>
      </c>
      <c r="C102" s="9">
        <v>46439</v>
      </c>
      <c r="D102" s="27" t="s">
        <v>427</v>
      </c>
      <c r="E102" s="27">
        <v>4</v>
      </c>
      <c r="F102" s="8" t="s">
        <v>431</v>
      </c>
      <c r="G102" s="35" t="s">
        <v>14</v>
      </c>
      <c r="H102" s="36"/>
      <c r="I102" s="37"/>
      <c r="J102" s="1"/>
      <c r="K102" s="46" t="s">
        <v>447</v>
      </c>
      <c r="L102" s="40"/>
      <c r="M102" s="40"/>
    </row>
    <row r="103" spans="1:13" ht="40.5" customHeight="1">
      <c r="A103" s="7">
        <v>19</v>
      </c>
      <c r="B103" s="9">
        <v>46433</v>
      </c>
      <c r="C103" s="9">
        <v>46439</v>
      </c>
      <c r="D103" s="27" t="s">
        <v>427</v>
      </c>
      <c r="E103" s="27">
        <v>5</v>
      </c>
      <c r="F103" s="8" t="s">
        <v>432</v>
      </c>
      <c r="G103" s="35" t="s">
        <v>14</v>
      </c>
      <c r="H103" s="36"/>
      <c r="I103" s="37"/>
      <c r="J103" s="1"/>
      <c r="K103" s="44" t="s">
        <v>448</v>
      </c>
      <c r="L103" s="44"/>
      <c r="M103" s="44"/>
    </row>
    <row r="104" spans="1:13" ht="40.5" customHeight="1">
      <c r="A104" s="7">
        <v>20</v>
      </c>
      <c r="B104" s="9">
        <v>46440</v>
      </c>
      <c r="C104" s="9">
        <v>46446</v>
      </c>
      <c r="D104" s="27" t="s">
        <v>427</v>
      </c>
      <c r="E104" s="27">
        <v>1</v>
      </c>
      <c r="F104" s="8" t="s">
        <v>428</v>
      </c>
      <c r="G104" s="35" t="s">
        <v>14</v>
      </c>
      <c r="H104" s="36"/>
      <c r="I104" s="37"/>
      <c r="J104" s="1"/>
      <c r="K104" s="44"/>
      <c r="L104" s="44"/>
      <c r="M104" s="44"/>
    </row>
    <row r="105" spans="1:13" ht="40.5" customHeight="1">
      <c r="A105" s="7">
        <v>20</v>
      </c>
      <c r="B105" s="9">
        <v>46440</v>
      </c>
      <c r="C105" s="9">
        <v>46446</v>
      </c>
      <c r="D105" s="27" t="s">
        <v>427</v>
      </c>
      <c r="E105" s="27">
        <v>2</v>
      </c>
      <c r="F105" s="8" t="s">
        <v>449</v>
      </c>
      <c r="G105" s="35" t="s">
        <v>14</v>
      </c>
      <c r="H105" s="36"/>
      <c r="I105" s="37"/>
      <c r="J105" s="1"/>
      <c r="K105" s="44"/>
      <c r="L105" s="44"/>
      <c r="M105" s="44"/>
    </row>
    <row r="106" spans="1:13" ht="40.5" customHeight="1">
      <c r="A106" s="7">
        <v>20</v>
      </c>
      <c r="B106" s="9">
        <v>46440</v>
      </c>
      <c r="C106" s="9">
        <v>46446</v>
      </c>
      <c r="D106" s="27" t="s">
        <v>427</v>
      </c>
      <c r="E106" s="27">
        <v>3</v>
      </c>
      <c r="F106" s="8" t="s">
        <v>430</v>
      </c>
      <c r="G106" s="35" t="s">
        <v>14</v>
      </c>
      <c r="H106" s="36"/>
      <c r="I106" s="37"/>
      <c r="J106" s="1"/>
      <c r="K106" s="44"/>
      <c r="L106" s="44"/>
      <c r="M106" s="44"/>
    </row>
    <row r="107" spans="1:13" ht="40.5" customHeight="1">
      <c r="A107" s="7">
        <v>20</v>
      </c>
      <c r="B107" s="9">
        <v>46440</v>
      </c>
      <c r="C107" s="9">
        <v>46446</v>
      </c>
      <c r="D107" s="27" t="s">
        <v>427</v>
      </c>
      <c r="E107" s="27">
        <v>4</v>
      </c>
      <c r="F107" s="8" t="s">
        <v>431</v>
      </c>
      <c r="G107" s="35" t="s">
        <v>14</v>
      </c>
      <c r="H107" s="36"/>
      <c r="I107" s="37"/>
      <c r="J107" s="1"/>
      <c r="K107" s="44"/>
      <c r="L107" s="44"/>
      <c r="M107" s="44"/>
    </row>
    <row r="108" spans="1:13" ht="40.5" customHeight="1">
      <c r="A108" s="7">
        <v>20</v>
      </c>
      <c r="B108" s="9">
        <v>46440</v>
      </c>
      <c r="C108" s="9">
        <v>46446</v>
      </c>
      <c r="D108" s="27" t="s">
        <v>427</v>
      </c>
      <c r="E108" s="27">
        <v>5</v>
      </c>
      <c r="F108" s="8" t="s">
        <v>432</v>
      </c>
      <c r="G108" s="35" t="s">
        <v>14</v>
      </c>
      <c r="H108" s="36"/>
      <c r="I108" s="37"/>
      <c r="J108" s="1"/>
      <c r="K108" s="1"/>
      <c r="L108" s="1"/>
      <c r="M108" s="1"/>
    </row>
    <row r="109" spans="1:13" ht="40.5" customHeight="1">
      <c r="A109" s="7">
        <v>21</v>
      </c>
      <c r="B109" s="9">
        <v>46447</v>
      </c>
      <c r="C109" s="9">
        <v>46453</v>
      </c>
      <c r="D109" s="27" t="s">
        <v>427</v>
      </c>
      <c r="E109" s="27">
        <v>1</v>
      </c>
      <c r="F109" s="8" t="s">
        <v>428</v>
      </c>
      <c r="G109" s="35" t="s">
        <v>14</v>
      </c>
      <c r="H109" s="36"/>
      <c r="I109" s="37"/>
      <c r="J109" s="1"/>
      <c r="K109" s="1"/>
      <c r="L109" s="1"/>
      <c r="M109" s="1"/>
    </row>
    <row r="110" spans="1:13" ht="40.5" customHeight="1">
      <c r="A110" s="7">
        <v>21</v>
      </c>
      <c r="B110" s="9">
        <v>46447</v>
      </c>
      <c r="C110" s="9">
        <v>46453</v>
      </c>
      <c r="D110" s="27" t="s">
        <v>427</v>
      </c>
      <c r="E110" s="27">
        <v>2</v>
      </c>
      <c r="F110" s="8" t="s">
        <v>450</v>
      </c>
      <c r="G110" s="35" t="s">
        <v>14</v>
      </c>
      <c r="H110" s="36"/>
      <c r="I110" s="37"/>
      <c r="J110" s="1"/>
      <c r="K110" s="1"/>
      <c r="L110" s="1"/>
      <c r="M110" s="1"/>
    </row>
    <row r="111" spans="1:13" ht="40.5" customHeight="1">
      <c r="A111" s="7">
        <v>21</v>
      </c>
      <c r="B111" s="9">
        <v>46447</v>
      </c>
      <c r="C111" s="9">
        <v>46453</v>
      </c>
      <c r="D111" s="27" t="s">
        <v>427</v>
      </c>
      <c r="E111" s="27">
        <v>3</v>
      </c>
      <c r="F111" s="8" t="s">
        <v>430</v>
      </c>
      <c r="G111" s="35" t="s">
        <v>14</v>
      </c>
      <c r="H111" s="36"/>
      <c r="I111" s="37"/>
      <c r="J111" s="1"/>
      <c r="K111" s="1"/>
      <c r="L111" s="1"/>
      <c r="M111" s="1"/>
    </row>
    <row r="112" spans="1:13" ht="40.5" customHeight="1">
      <c r="A112" s="7">
        <v>21</v>
      </c>
      <c r="B112" s="9">
        <v>46447</v>
      </c>
      <c r="C112" s="9">
        <v>46453</v>
      </c>
      <c r="D112" s="27" t="s">
        <v>427</v>
      </c>
      <c r="E112" s="27">
        <v>4</v>
      </c>
      <c r="F112" s="8" t="s">
        <v>431</v>
      </c>
      <c r="G112" s="35" t="s">
        <v>14</v>
      </c>
      <c r="H112" s="36"/>
      <c r="I112" s="37"/>
      <c r="J112" s="1"/>
      <c r="K112" s="1"/>
      <c r="L112" s="1"/>
      <c r="M112" s="1"/>
    </row>
    <row r="113" spans="1:13" ht="40.5" customHeight="1">
      <c r="A113" s="7">
        <v>21</v>
      </c>
      <c r="B113" s="9">
        <v>46447</v>
      </c>
      <c r="C113" s="9">
        <v>46453</v>
      </c>
      <c r="D113" s="27" t="s">
        <v>427</v>
      </c>
      <c r="E113" s="27">
        <v>5</v>
      </c>
      <c r="F113" s="8" t="s">
        <v>432</v>
      </c>
      <c r="G113" s="35" t="s">
        <v>14</v>
      </c>
      <c r="H113" s="36"/>
      <c r="I113" s="37"/>
      <c r="J113" s="1"/>
      <c r="K113" s="1"/>
      <c r="L113" s="1"/>
      <c r="M113" s="1"/>
    </row>
    <row r="114" spans="1:13" ht="40.5" customHeight="1">
      <c r="A114" s="7">
        <v>22</v>
      </c>
      <c r="B114" s="9">
        <v>46454</v>
      </c>
      <c r="C114" s="9">
        <v>46460</v>
      </c>
      <c r="D114" s="27" t="s">
        <v>427</v>
      </c>
      <c r="E114" s="27">
        <v>1</v>
      </c>
      <c r="F114" s="8" t="s">
        <v>428</v>
      </c>
      <c r="G114" s="35" t="s">
        <v>14</v>
      </c>
      <c r="H114" s="36"/>
      <c r="I114" s="37"/>
      <c r="J114" s="1"/>
      <c r="K114" s="1"/>
      <c r="L114" s="1"/>
      <c r="M114" s="1"/>
    </row>
    <row r="115" spans="1:13" ht="40.5" customHeight="1">
      <c r="A115" s="7">
        <v>22</v>
      </c>
      <c r="B115" s="9">
        <v>46454</v>
      </c>
      <c r="C115" s="9">
        <v>46460</v>
      </c>
      <c r="D115" s="27" t="s">
        <v>427</v>
      </c>
      <c r="E115" s="27">
        <v>2</v>
      </c>
      <c r="F115" s="8" t="s">
        <v>451</v>
      </c>
      <c r="G115" s="35" t="s">
        <v>14</v>
      </c>
      <c r="H115" s="36"/>
      <c r="I115" s="37"/>
      <c r="J115" s="1"/>
      <c r="K115" s="1"/>
      <c r="L115" s="1"/>
      <c r="M115" s="1"/>
    </row>
    <row r="116" spans="1:13" ht="40.5" customHeight="1">
      <c r="A116" s="7">
        <v>22</v>
      </c>
      <c r="B116" s="9">
        <v>46454</v>
      </c>
      <c r="C116" s="9">
        <v>46460</v>
      </c>
      <c r="D116" s="27" t="s">
        <v>427</v>
      </c>
      <c r="E116" s="27">
        <v>3</v>
      </c>
      <c r="F116" s="8" t="s">
        <v>430</v>
      </c>
      <c r="G116" s="35" t="s">
        <v>14</v>
      </c>
      <c r="H116" s="36"/>
      <c r="I116" s="37"/>
      <c r="J116" s="1"/>
      <c r="K116" s="1"/>
      <c r="L116" s="1"/>
      <c r="M116" s="1"/>
    </row>
    <row r="117" spans="1:13" ht="40.5" customHeight="1">
      <c r="A117" s="7">
        <v>22</v>
      </c>
      <c r="B117" s="9">
        <v>46454</v>
      </c>
      <c r="C117" s="9">
        <v>46460</v>
      </c>
      <c r="D117" s="27" t="s">
        <v>427</v>
      </c>
      <c r="E117" s="27">
        <v>4</v>
      </c>
      <c r="F117" s="8" t="s">
        <v>431</v>
      </c>
      <c r="G117" s="35" t="s">
        <v>14</v>
      </c>
      <c r="H117" s="36"/>
      <c r="I117" s="37"/>
      <c r="J117" s="1"/>
      <c r="K117" s="1"/>
      <c r="L117" s="1"/>
      <c r="M117" s="1"/>
    </row>
    <row r="118" spans="1:13" ht="40.5" customHeight="1">
      <c r="A118" s="7">
        <v>22</v>
      </c>
      <c r="B118" s="9">
        <v>46454</v>
      </c>
      <c r="C118" s="9">
        <v>46460</v>
      </c>
      <c r="D118" s="27" t="s">
        <v>427</v>
      </c>
      <c r="E118" s="27">
        <v>5</v>
      </c>
      <c r="F118" s="8" t="s">
        <v>432</v>
      </c>
      <c r="G118" s="35" t="s">
        <v>14</v>
      </c>
      <c r="H118" s="36"/>
      <c r="I118" s="37"/>
      <c r="J118" s="1"/>
      <c r="K118" s="1"/>
      <c r="L118" s="1"/>
      <c r="M118" s="1"/>
    </row>
    <row r="119" spans="1:13" ht="40.5" customHeight="1">
      <c r="A119" s="7">
        <v>23</v>
      </c>
      <c r="B119" s="9">
        <v>46461</v>
      </c>
      <c r="C119" s="9">
        <v>46467</v>
      </c>
      <c r="D119" s="27" t="s">
        <v>427</v>
      </c>
      <c r="E119" s="27">
        <v>1</v>
      </c>
      <c r="F119" s="8" t="s">
        <v>428</v>
      </c>
      <c r="G119" s="35" t="s">
        <v>14</v>
      </c>
      <c r="H119" s="36"/>
      <c r="I119" s="37"/>
      <c r="J119" s="1"/>
      <c r="K119" s="1"/>
      <c r="L119" s="1"/>
      <c r="M119" s="1"/>
    </row>
    <row r="120" spans="1:13" ht="40.5" customHeight="1">
      <c r="A120" s="7">
        <v>23</v>
      </c>
      <c r="B120" s="9">
        <v>46461</v>
      </c>
      <c r="C120" s="9">
        <v>46467</v>
      </c>
      <c r="D120" s="27" t="s">
        <v>427</v>
      </c>
      <c r="E120" s="27">
        <v>2</v>
      </c>
      <c r="F120" s="8" t="s">
        <v>429</v>
      </c>
      <c r="G120" s="35" t="s">
        <v>14</v>
      </c>
      <c r="H120" s="36"/>
      <c r="I120" s="37"/>
      <c r="J120" s="1"/>
      <c r="K120" s="1"/>
      <c r="L120" s="1"/>
      <c r="M120" s="1"/>
    </row>
    <row r="121" spans="1:13" ht="40.5" customHeight="1">
      <c r="A121" s="7">
        <v>23</v>
      </c>
      <c r="B121" s="9">
        <v>46461</v>
      </c>
      <c r="C121" s="9">
        <v>46467</v>
      </c>
      <c r="D121" s="27" t="s">
        <v>427</v>
      </c>
      <c r="E121" s="27">
        <v>3</v>
      </c>
      <c r="F121" s="8" t="s">
        <v>430</v>
      </c>
      <c r="G121" s="35" t="s">
        <v>14</v>
      </c>
      <c r="H121" s="36"/>
      <c r="I121" s="37"/>
      <c r="J121" s="1"/>
      <c r="K121" s="1"/>
      <c r="L121" s="1"/>
      <c r="M121" s="1"/>
    </row>
    <row r="122" spans="1:13" ht="40.5" customHeight="1">
      <c r="A122" s="7">
        <v>23</v>
      </c>
      <c r="B122" s="9">
        <v>46461</v>
      </c>
      <c r="C122" s="9">
        <v>46467</v>
      </c>
      <c r="D122" s="27" t="s">
        <v>427</v>
      </c>
      <c r="E122" s="27">
        <v>4</v>
      </c>
      <c r="F122" s="8" t="s">
        <v>431</v>
      </c>
      <c r="G122" s="35" t="s">
        <v>14</v>
      </c>
      <c r="H122" s="36"/>
      <c r="I122" s="37"/>
      <c r="J122" s="1"/>
      <c r="K122" s="1"/>
      <c r="L122" s="1"/>
      <c r="M122" s="1"/>
    </row>
    <row r="123" spans="1:13" ht="40.5" customHeight="1">
      <c r="A123" s="7">
        <v>23</v>
      </c>
      <c r="B123" s="9">
        <v>46461</v>
      </c>
      <c r="C123" s="9">
        <v>46467</v>
      </c>
      <c r="D123" s="27" t="s">
        <v>427</v>
      </c>
      <c r="E123" s="27">
        <v>5</v>
      </c>
      <c r="F123" s="8" t="s">
        <v>432</v>
      </c>
      <c r="G123" s="35" t="s">
        <v>14</v>
      </c>
      <c r="H123" s="36"/>
      <c r="I123" s="37"/>
      <c r="J123" s="1"/>
      <c r="K123" s="1"/>
      <c r="L123" s="1"/>
      <c r="M123" s="1"/>
    </row>
    <row r="124" spans="1:13" ht="40.5" customHeight="1">
      <c r="A124" s="7">
        <v>24</v>
      </c>
      <c r="B124" s="9">
        <v>46468</v>
      </c>
      <c r="C124" s="9">
        <v>46474</v>
      </c>
      <c r="D124" s="27" t="s">
        <v>427</v>
      </c>
      <c r="E124" s="27">
        <v>1</v>
      </c>
      <c r="F124" s="8" t="s">
        <v>428</v>
      </c>
      <c r="G124" s="35" t="s">
        <v>14</v>
      </c>
      <c r="H124" s="36"/>
      <c r="I124" s="37"/>
      <c r="J124" s="1"/>
      <c r="K124" s="1"/>
      <c r="L124" s="1"/>
      <c r="M124" s="1"/>
    </row>
    <row r="125" spans="1:13" ht="40.5" customHeight="1">
      <c r="A125" s="7">
        <v>24</v>
      </c>
      <c r="B125" s="9">
        <v>46468</v>
      </c>
      <c r="C125" s="9">
        <v>46474</v>
      </c>
      <c r="D125" s="27" t="s">
        <v>427</v>
      </c>
      <c r="E125" s="27">
        <v>2</v>
      </c>
      <c r="F125" s="8" t="s">
        <v>434</v>
      </c>
      <c r="G125" s="35" t="s">
        <v>14</v>
      </c>
      <c r="H125" s="36"/>
      <c r="I125" s="37"/>
      <c r="J125" s="1"/>
      <c r="K125" s="1"/>
      <c r="L125" s="1"/>
      <c r="M125" s="1"/>
    </row>
    <row r="126" spans="1:13" ht="40.5" customHeight="1">
      <c r="A126" s="7">
        <v>24</v>
      </c>
      <c r="B126" s="9">
        <v>46468</v>
      </c>
      <c r="C126" s="9">
        <v>46474</v>
      </c>
      <c r="D126" s="27" t="s">
        <v>427</v>
      </c>
      <c r="E126" s="27">
        <v>3</v>
      </c>
      <c r="F126" s="8" t="s">
        <v>430</v>
      </c>
      <c r="G126" s="35" t="s">
        <v>14</v>
      </c>
      <c r="H126" s="36"/>
      <c r="I126" s="37"/>
      <c r="J126" s="1"/>
      <c r="K126" s="1"/>
      <c r="L126" s="1"/>
      <c r="M126" s="1"/>
    </row>
    <row r="127" spans="1:13" ht="40.5" customHeight="1">
      <c r="A127" s="7">
        <v>24</v>
      </c>
      <c r="B127" s="9">
        <v>46468</v>
      </c>
      <c r="C127" s="9">
        <v>46474</v>
      </c>
      <c r="D127" s="27" t="s">
        <v>427</v>
      </c>
      <c r="E127" s="27">
        <v>4</v>
      </c>
      <c r="F127" s="8" t="s">
        <v>431</v>
      </c>
      <c r="G127" s="35" t="s">
        <v>14</v>
      </c>
      <c r="H127" s="36"/>
      <c r="I127" s="37"/>
      <c r="J127" s="1"/>
      <c r="K127" s="1"/>
      <c r="L127" s="1"/>
      <c r="M127" s="1"/>
    </row>
    <row r="128" spans="1:13" ht="40.5" customHeight="1">
      <c r="A128" s="7">
        <v>24</v>
      </c>
      <c r="B128" s="9">
        <v>46468</v>
      </c>
      <c r="C128" s="9">
        <v>46474</v>
      </c>
      <c r="D128" s="27" t="s">
        <v>427</v>
      </c>
      <c r="E128" s="27">
        <v>5</v>
      </c>
      <c r="F128" s="8" t="s">
        <v>432</v>
      </c>
      <c r="G128" s="35" t="s">
        <v>14</v>
      </c>
      <c r="H128" s="36"/>
      <c r="I128" s="37"/>
      <c r="J128" s="1"/>
      <c r="K128" s="1"/>
      <c r="L128" s="1"/>
      <c r="M128" s="1"/>
    </row>
    <row r="129" spans="1:13" ht="40.5" customHeight="1">
      <c r="A129" s="7">
        <v>25</v>
      </c>
      <c r="B129" s="9">
        <v>46475</v>
      </c>
      <c r="C129" s="9">
        <v>46481</v>
      </c>
      <c r="D129" s="27" t="s">
        <v>427</v>
      </c>
      <c r="E129" s="27">
        <v>1</v>
      </c>
      <c r="F129" s="8" t="s">
        <v>428</v>
      </c>
      <c r="G129" s="35" t="s">
        <v>14</v>
      </c>
      <c r="H129" s="36"/>
      <c r="I129" s="37"/>
      <c r="J129" s="1"/>
      <c r="K129" s="1"/>
      <c r="L129" s="1"/>
      <c r="M129" s="1"/>
    </row>
    <row r="130" spans="1:13" ht="40.5" customHeight="1">
      <c r="A130" s="7">
        <v>25</v>
      </c>
      <c r="B130" s="9">
        <v>46475</v>
      </c>
      <c r="C130" s="9">
        <v>46481</v>
      </c>
      <c r="D130" s="27" t="s">
        <v>427</v>
      </c>
      <c r="E130" s="27">
        <v>2</v>
      </c>
      <c r="F130" s="8" t="s">
        <v>436</v>
      </c>
      <c r="G130" s="35" t="s">
        <v>14</v>
      </c>
      <c r="H130" s="36"/>
      <c r="I130" s="37"/>
      <c r="J130" s="1"/>
      <c r="K130" s="1"/>
      <c r="L130" s="1"/>
      <c r="M130" s="1"/>
    </row>
    <row r="131" spans="1:13" ht="40.5" customHeight="1">
      <c r="A131" s="7">
        <v>25</v>
      </c>
      <c r="B131" s="9">
        <v>46475</v>
      </c>
      <c r="C131" s="9">
        <v>46481</v>
      </c>
      <c r="D131" s="27" t="s">
        <v>427</v>
      </c>
      <c r="E131" s="27">
        <v>3</v>
      </c>
      <c r="F131" s="8" t="s">
        <v>430</v>
      </c>
      <c r="G131" s="35" t="s">
        <v>14</v>
      </c>
      <c r="H131" s="36"/>
      <c r="I131" s="37"/>
      <c r="J131" s="1"/>
      <c r="K131" s="1"/>
      <c r="L131" s="1"/>
      <c r="M131" s="1"/>
    </row>
    <row r="132" spans="1:13" ht="40.5" customHeight="1">
      <c r="A132" s="7">
        <v>25</v>
      </c>
      <c r="B132" s="9">
        <v>46475</v>
      </c>
      <c r="C132" s="9">
        <v>46481</v>
      </c>
      <c r="D132" s="27" t="s">
        <v>427</v>
      </c>
      <c r="E132" s="27">
        <v>4</v>
      </c>
      <c r="F132" s="8" t="s">
        <v>431</v>
      </c>
      <c r="G132" s="35" t="s">
        <v>14</v>
      </c>
      <c r="H132" s="36"/>
      <c r="I132" s="37"/>
      <c r="J132" s="1"/>
      <c r="K132" s="1"/>
      <c r="L132" s="1"/>
      <c r="M132" s="1"/>
    </row>
    <row r="133" spans="1:13" ht="40.5" customHeight="1">
      <c r="A133" s="7">
        <v>25</v>
      </c>
      <c r="B133" s="9">
        <v>46475</v>
      </c>
      <c r="C133" s="9">
        <v>46481</v>
      </c>
      <c r="D133" s="27" t="s">
        <v>427</v>
      </c>
      <c r="E133" s="27">
        <v>5</v>
      </c>
      <c r="F133" s="8" t="s">
        <v>432</v>
      </c>
      <c r="G133" s="35" t="s">
        <v>14</v>
      </c>
      <c r="H133" s="36"/>
      <c r="I133" s="37"/>
      <c r="J133" s="1"/>
      <c r="K133" s="1"/>
      <c r="L133" s="1"/>
      <c r="M133" s="1"/>
    </row>
    <row r="134" spans="1:13" ht="40.5" customHeight="1">
      <c r="A134" s="7">
        <v>26</v>
      </c>
      <c r="B134" s="9">
        <v>46482</v>
      </c>
      <c r="C134" s="9">
        <v>46488</v>
      </c>
      <c r="D134" s="27" t="s">
        <v>427</v>
      </c>
      <c r="E134" s="27">
        <v>1</v>
      </c>
      <c r="F134" s="8" t="s">
        <v>428</v>
      </c>
      <c r="G134" s="35" t="s">
        <v>14</v>
      </c>
      <c r="H134" s="36"/>
      <c r="I134" s="37"/>
      <c r="J134" s="1"/>
      <c r="K134" s="1"/>
      <c r="L134" s="1"/>
      <c r="M134" s="1"/>
    </row>
    <row r="135" spans="1:13" ht="40.5" customHeight="1">
      <c r="A135" s="7">
        <v>26</v>
      </c>
      <c r="B135" s="9">
        <v>46482</v>
      </c>
      <c r="C135" s="9">
        <v>46488</v>
      </c>
      <c r="D135" s="27" t="s">
        <v>427</v>
      </c>
      <c r="E135" s="27">
        <v>2</v>
      </c>
      <c r="F135" s="8" t="s">
        <v>439</v>
      </c>
      <c r="G135" s="35" t="s">
        <v>14</v>
      </c>
      <c r="H135" s="36"/>
      <c r="I135" s="37"/>
      <c r="J135" s="1"/>
      <c r="K135" s="1"/>
      <c r="L135" s="1"/>
      <c r="M135" s="1"/>
    </row>
    <row r="136" spans="1:13" ht="40.5" customHeight="1">
      <c r="A136" s="7">
        <v>26</v>
      </c>
      <c r="B136" s="9">
        <v>46482</v>
      </c>
      <c r="C136" s="9">
        <v>46488</v>
      </c>
      <c r="D136" s="27" t="s">
        <v>427</v>
      </c>
      <c r="E136" s="27">
        <v>3</v>
      </c>
      <c r="F136" s="8" t="s">
        <v>430</v>
      </c>
      <c r="G136" s="35" t="s">
        <v>14</v>
      </c>
      <c r="H136" s="36"/>
      <c r="I136" s="37"/>
      <c r="J136" s="1"/>
      <c r="K136" s="1"/>
      <c r="L136" s="1"/>
      <c r="M136" s="1"/>
    </row>
    <row r="137" spans="1:13" ht="40.5" customHeight="1">
      <c r="A137" s="7">
        <v>26</v>
      </c>
      <c r="B137" s="9">
        <v>46482</v>
      </c>
      <c r="C137" s="9">
        <v>46488</v>
      </c>
      <c r="D137" s="27" t="s">
        <v>427</v>
      </c>
      <c r="E137" s="27">
        <v>4</v>
      </c>
      <c r="F137" s="8" t="s">
        <v>431</v>
      </c>
      <c r="G137" s="35" t="s">
        <v>14</v>
      </c>
      <c r="H137" s="36"/>
      <c r="I137" s="37"/>
      <c r="J137" s="1"/>
      <c r="K137" s="1"/>
      <c r="L137" s="1"/>
      <c r="M137" s="1"/>
    </row>
    <row r="138" spans="1:13" ht="40.5" customHeight="1">
      <c r="A138" s="7">
        <v>26</v>
      </c>
      <c r="B138" s="9">
        <v>46482</v>
      </c>
      <c r="C138" s="9">
        <v>46488</v>
      </c>
      <c r="D138" s="27" t="s">
        <v>427</v>
      </c>
      <c r="E138" s="27">
        <v>5</v>
      </c>
      <c r="F138" s="8" t="s">
        <v>432</v>
      </c>
      <c r="G138" s="35" t="s">
        <v>14</v>
      </c>
      <c r="H138" s="36"/>
      <c r="I138" s="37"/>
      <c r="J138" s="1"/>
      <c r="K138" s="1"/>
      <c r="L138" s="1"/>
      <c r="M138" s="1"/>
    </row>
    <row r="139" spans="1:13" ht="40.5" customHeight="1">
      <c r="A139" s="7">
        <v>27</v>
      </c>
      <c r="B139" s="9">
        <v>46489</v>
      </c>
      <c r="C139" s="9">
        <v>46495</v>
      </c>
      <c r="D139" s="27" t="s">
        <v>427</v>
      </c>
      <c r="E139" s="27">
        <v>1</v>
      </c>
      <c r="F139" s="8" t="s">
        <v>428</v>
      </c>
      <c r="G139" s="35" t="s">
        <v>14</v>
      </c>
      <c r="H139" s="36"/>
      <c r="I139" s="37"/>
      <c r="J139" s="1"/>
      <c r="K139" s="1"/>
      <c r="L139" s="1"/>
      <c r="M139" s="1"/>
    </row>
    <row r="140" spans="1:13" ht="40.5" customHeight="1">
      <c r="A140" s="7">
        <v>27</v>
      </c>
      <c r="B140" s="9">
        <v>46489</v>
      </c>
      <c r="C140" s="9">
        <v>46495</v>
      </c>
      <c r="D140" s="27" t="s">
        <v>427</v>
      </c>
      <c r="E140" s="27">
        <v>2</v>
      </c>
      <c r="F140" s="8" t="s">
        <v>442</v>
      </c>
      <c r="G140" s="35" t="s">
        <v>14</v>
      </c>
      <c r="H140" s="36"/>
      <c r="I140" s="37"/>
      <c r="J140" s="1"/>
      <c r="K140" s="1"/>
      <c r="L140" s="1"/>
      <c r="M140" s="1"/>
    </row>
    <row r="141" spans="1:13" ht="40.5" customHeight="1">
      <c r="A141" s="7">
        <v>27</v>
      </c>
      <c r="B141" s="9">
        <v>46489</v>
      </c>
      <c r="C141" s="9">
        <v>46495</v>
      </c>
      <c r="D141" s="27" t="s">
        <v>427</v>
      </c>
      <c r="E141" s="27">
        <v>3</v>
      </c>
      <c r="F141" s="8" t="s">
        <v>430</v>
      </c>
      <c r="G141" s="35" t="s">
        <v>14</v>
      </c>
      <c r="H141" s="36"/>
      <c r="I141" s="37"/>
      <c r="J141" s="1"/>
      <c r="K141" s="1"/>
      <c r="L141" s="1"/>
      <c r="M141" s="1"/>
    </row>
    <row r="142" spans="1:13" ht="40.5" customHeight="1">
      <c r="A142" s="7">
        <v>27</v>
      </c>
      <c r="B142" s="9">
        <v>46489</v>
      </c>
      <c r="C142" s="9">
        <v>46495</v>
      </c>
      <c r="D142" s="27" t="s">
        <v>427</v>
      </c>
      <c r="E142" s="27">
        <v>4</v>
      </c>
      <c r="F142" s="8" t="s">
        <v>431</v>
      </c>
      <c r="G142" s="35" t="s">
        <v>14</v>
      </c>
      <c r="H142" s="36"/>
      <c r="I142" s="37"/>
      <c r="J142" s="1"/>
      <c r="K142" s="1"/>
      <c r="L142" s="1"/>
      <c r="M142" s="1"/>
    </row>
    <row r="143" spans="1:13" ht="40.5" customHeight="1">
      <c r="A143" s="7">
        <v>27</v>
      </c>
      <c r="B143" s="9">
        <v>46489</v>
      </c>
      <c r="C143" s="9">
        <v>46495</v>
      </c>
      <c r="D143" s="27" t="s">
        <v>427</v>
      </c>
      <c r="E143" s="27">
        <v>5</v>
      </c>
      <c r="F143" s="8" t="s">
        <v>432</v>
      </c>
      <c r="G143" s="35" t="s">
        <v>14</v>
      </c>
      <c r="H143" s="36"/>
      <c r="I143" s="37"/>
      <c r="J143" s="1"/>
      <c r="K143" s="1"/>
      <c r="L143" s="1"/>
      <c r="M143" s="1"/>
    </row>
    <row r="144" spans="1:13" ht="40.5" customHeight="1">
      <c r="A144" s="7">
        <v>28</v>
      </c>
      <c r="B144" s="9">
        <v>46496</v>
      </c>
      <c r="C144" s="9">
        <v>46502</v>
      </c>
      <c r="D144" s="27" t="s">
        <v>427</v>
      </c>
      <c r="E144" s="27">
        <v>1</v>
      </c>
      <c r="F144" s="8" t="s">
        <v>428</v>
      </c>
      <c r="G144" s="35" t="s">
        <v>14</v>
      </c>
      <c r="H144" s="36"/>
      <c r="I144" s="37"/>
      <c r="J144" s="1"/>
      <c r="K144" s="1"/>
      <c r="L144" s="1"/>
      <c r="M144" s="1"/>
    </row>
    <row r="145" spans="1:13" ht="40.5" customHeight="1">
      <c r="A145" s="7">
        <v>28</v>
      </c>
      <c r="B145" s="9">
        <v>46496</v>
      </c>
      <c r="C145" s="9">
        <v>46502</v>
      </c>
      <c r="D145" s="27" t="s">
        <v>427</v>
      </c>
      <c r="E145" s="27">
        <v>2</v>
      </c>
      <c r="F145" s="8" t="s">
        <v>443</v>
      </c>
      <c r="G145" s="35" t="s">
        <v>14</v>
      </c>
      <c r="H145" s="36"/>
      <c r="I145" s="37"/>
      <c r="J145" s="1"/>
      <c r="K145" s="1"/>
      <c r="L145" s="1"/>
      <c r="M145" s="1"/>
    </row>
    <row r="146" spans="1:13" ht="40.5" customHeight="1">
      <c r="A146" s="7">
        <v>28</v>
      </c>
      <c r="B146" s="9">
        <v>46496</v>
      </c>
      <c r="C146" s="9">
        <v>46502</v>
      </c>
      <c r="D146" s="27" t="s">
        <v>427</v>
      </c>
      <c r="E146" s="27">
        <v>3</v>
      </c>
      <c r="F146" s="8" t="s">
        <v>430</v>
      </c>
      <c r="G146" s="35" t="s">
        <v>14</v>
      </c>
      <c r="H146" s="36"/>
      <c r="I146" s="37"/>
      <c r="J146" s="1"/>
      <c r="K146" s="1"/>
      <c r="L146" s="1"/>
      <c r="M146" s="1"/>
    </row>
    <row r="147" spans="1:13" ht="40.5" customHeight="1">
      <c r="A147" s="7">
        <v>28</v>
      </c>
      <c r="B147" s="9">
        <v>46496</v>
      </c>
      <c r="C147" s="9">
        <v>46502</v>
      </c>
      <c r="D147" s="27" t="s">
        <v>427</v>
      </c>
      <c r="E147" s="27">
        <v>4</v>
      </c>
      <c r="F147" s="8" t="s">
        <v>431</v>
      </c>
      <c r="G147" s="35" t="s">
        <v>14</v>
      </c>
      <c r="H147" s="36"/>
      <c r="I147" s="37"/>
      <c r="J147" s="1"/>
      <c r="K147" s="1"/>
      <c r="L147" s="1"/>
      <c r="M147" s="1"/>
    </row>
    <row r="148" spans="1:13" ht="40.5" customHeight="1">
      <c r="A148" s="7">
        <v>28</v>
      </c>
      <c r="B148" s="9">
        <v>46496</v>
      </c>
      <c r="C148" s="9">
        <v>46502</v>
      </c>
      <c r="D148" s="27" t="s">
        <v>427</v>
      </c>
      <c r="E148" s="27">
        <v>5</v>
      </c>
      <c r="F148" s="8" t="s">
        <v>432</v>
      </c>
      <c r="G148" s="35" t="s">
        <v>14</v>
      </c>
      <c r="H148" s="36"/>
      <c r="I148" s="37"/>
      <c r="J148" s="1"/>
      <c r="K148" s="1"/>
      <c r="L148" s="1"/>
      <c r="M148" s="1"/>
    </row>
    <row r="149" spans="1:13" ht="40.5" customHeight="1">
      <c r="A149" s="7">
        <v>29</v>
      </c>
      <c r="B149" s="9">
        <v>46503</v>
      </c>
      <c r="C149" s="9">
        <v>46509</v>
      </c>
      <c r="D149" s="27" t="s">
        <v>427</v>
      </c>
      <c r="E149" s="27">
        <v>1</v>
      </c>
      <c r="F149" s="8" t="s">
        <v>428</v>
      </c>
      <c r="G149" s="35" t="s">
        <v>14</v>
      </c>
      <c r="H149" s="36"/>
      <c r="I149" s="37"/>
      <c r="J149" s="1"/>
      <c r="K149" s="1"/>
      <c r="L149" s="1"/>
      <c r="M149" s="1"/>
    </row>
    <row r="150" spans="1:13" ht="40.5" customHeight="1">
      <c r="A150" s="7">
        <v>29</v>
      </c>
      <c r="B150" s="9">
        <v>46503</v>
      </c>
      <c r="C150" s="9">
        <v>46509</v>
      </c>
      <c r="D150" s="27" t="s">
        <v>427</v>
      </c>
      <c r="E150" s="27">
        <v>2</v>
      </c>
      <c r="F150" s="8" t="s">
        <v>446</v>
      </c>
      <c r="G150" s="35" t="s">
        <v>14</v>
      </c>
      <c r="H150" s="36"/>
      <c r="I150" s="37"/>
      <c r="J150" s="1"/>
      <c r="K150" s="1"/>
      <c r="L150" s="1"/>
      <c r="M150" s="1"/>
    </row>
    <row r="151" spans="1:13" ht="40.5" customHeight="1">
      <c r="A151" s="7">
        <v>29</v>
      </c>
      <c r="B151" s="9">
        <v>46503</v>
      </c>
      <c r="C151" s="9">
        <v>46509</v>
      </c>
      <c r="D151" s="27" t="s">
        <v>427</v>
      </c>
      <c r="E151" s="27">
        <v>3</v>
      </c>
      <c r="F151" s="8" t="s">
        <v>430</v>
      </c>
      <c r="G151" s="35" t="s">
        <v>14</v>
      </c>
      <c r="H151" s="36"/>
      <c r="I151" s="37"/>
      <c r="J151" s="1"/>
      <c r="K151" s="1"/>
      <c r="L151" s="1"/>
      <c r="M151" s="1"/>
    </row>
    <row r="152" spans="1:13" ht="40.5" customHeight="1">
      <c r="A152" s="7">
        <v>29</v>
      </c>
      <c r="B152" s="9">
        <v>46503</v>
      </c>
      <c r="C152" s="9">
        <v>46509</v>
      </c>
      <c r="D152" s="27" t="s">
        <v>427</v>
      </c>
      <c r="E152" s="27">
        <v>4</v>
      </c>
      <c r="F152" s="8" t="s">
        <v>431</v>
      </c>
      <c r="G152" s="35" t="s">
        <v>14</v>
      </c>
      <c r="H152" s="36"/>
      <c r="I152" s="37"/>
      <c r="J152" s="1"/>
      <c r="K152" s="1"/>
      <c r="L152" s="1"/>
      <c r="M152" s="1"/>
    </row>
    <row r="153" spans="1:13" ht="40.5" customHeight="1">
      <c r="A153" s="7">
        <v>29</v>
      </c>
      <c r="B153" s="9">
        <v>46503</v>
      </c>
      <c r="C153" s="9">
        <v>46509</v>
      </c>
      <c r="D153" s="27" t="s">
        <v>427</v>
      </c>
      <c r="E153" s="27">
        <v>5</v>
      </c>
      <c r="F153" s="8" t="s">
        <v>432</v>
      </c>
      <c r="G153" s="35" t="s">
        <v>14</v>
      </c>
      <c r="H153" s="36"/>
      <c r="I153" s="37"/>
      <c r="J153" s="1"/>
      <c r="K153" s="1"/>
      <c r="L153" s="1"/>
      <c r="M153" s="1"/>
    </row>
    <row r="154" spans="1:13" ht="40.5" customHeight="1">
      <c r="A154" s="7">
        <v>30</v>
      </c>
      <c r="B154" s="9">
        <v>46510</v>
      </c>
      <c r="C154" s="9">
        <v>46516</v>
      </c>
      <c r="D154" s="27" t="s">
        <v>427</v>
      </c>
      <c r="E154" s="27">
        <v>1</v>
      </c>
      <c r="F154" s="8" t="s">
        <v>428</v>
      </c>
      <c r="G154" s="35" t="s">
        <v>14</v>
      </c>
      <c r="H154" s="36"/>
      <c r="I154" s="37"/>
      <c r="J154" s="1"/>
      <c r="K154" s="1"/>
      <c r="L154" s="1"/>
      <c r="M154" s="1"/>
    </row>
    <row r="155" spans="1:13" ht="40.5" customHeight="1">
      <c r="A155" s="7">
        <v>30</v>
      </c>
      <c r="B155" s="9">
        <v>46510</v>
      </c>
      <c r="C155" s="9">
        <v>46516</v>
      </c>
      <c r="D155" s="27" t="s">
        <v>427</v>
      </c>
      <c r="E155" s="27">
        <v>2</v>
      </c>
      <c r="F155" s="8" t="s">
        <v>449</v>
      </c>
      <c r="G155" s="35" t="s">
        <v>14</v>
      </c>
      <c r="H155" s="36"/>
      <c r="I155" s="37"/>
      <c r="J155" s="1"/>
      <c r="K155" s="1"/>
      <c r="L155" s="1"/>
      <c r="M155" s="1"/>
    </row>
    <row r="156" spans="1:13" ht="40.5" customHeight="1">
      <c r="A156" s="7">
        <v>30</v>
      </c>
      <c r="B156" s="9">
        <v>46510</v>
      </c>
      <c r="C156" s="9">
        <v>46516</v>
      </c>
      <c r="D156" s="27" t="s">
        <v>427</v>
      </c>
      <c r="E156" s="27">
        <v>3</v>
      </c>
      <c r="F156" s="8" t="s">
        <v>430</v>
      </c>
      <c r="G156" s="35" t="s">
        <v>14</v>
      </c>
      <c r="H156" s="36"/>
      <c r="I156" s="37"/>
      <c r="J156" s="1"/>
      <c r="K156" s="1"/>
      <c r="L156" s="1"/>
      <c r="M156" s="1"/>
    </row>
    <row r="157" spans="1:13" ht="40.5" customHeight="1">
      <c r="A157" s="7">
        <v>30</v>
      </c>
      <c r="B157" s="9">
        <v>46510</v>
      </c>
      <c r="C157" s="9">
        <v>46516</v>
      </c>
      <c r="D157" s="27" t="s">
        <v>427</v>
      </c>
      <c r="E157" s="27">
        <v>4</v>
      </c>
      <c r="F157" s="8" t="s">
        <v>431</v>
      </c>
      <c r="G157" s="35" t="s">
        <v>14</v>
      </c>
      <c r="H157" s="36"/>
      <c r="I157" s="37"/>
      <c r="J157" s="1"/>
      <c r="K157" s="1"/>
      <c r="L157" s="1"/>
      <c r="M157" s="1"/>
    </row>
    <row r="158" spans="1:13" ht="40.5" customHeight="1">
      <c r="A158" s="7">
        <v>30</v>
      </c>
      <c r="B158" s="9">
        <v>46510</v>
      </c>
      <c r="C158" s="9">
        <v>46516</v>
      </c>
      <c r="D158" s="27" t="s">
        <v>427</v>
      </c>
      <c r="E158" s="27">
        <v>5</v>
      </c>
      <c r="F158" s="8" t="s">
        <v>432</v>
      </c>
      <c r="G158" s="35" t="s">
        <v>14</v>
      </c>
      <c r="H158" s="36"/>
      <c r="I158" s="37"/>
      <c r="J158" s="1"/>
      <c r="K158" s="1"/>
      <c r="L158" s="1"/>
      <c r="M158" s="1"/>
    </row>
    <row r="159" spans="1:13" ht="40.5" customHeight="1">
      <c r="A159" s="7">
        <v>31</v>
      </c>
      <c r="B159" s="9">
        <v>46517</v>
      </c>
      <c r="C159" s="9">
        <v>46523</v>
      </c>
      <c r="D159" s="27" t="s">
        <v>427</v>
      </c>
      <c r="E159" s="27">
        <v>1</v>
      </c>
      <c r="F159" s="8" t="s">
        <v>428</v>
      </c>
      <c r="G159" s="35" t="s">
        <v>14</v>
      </c>
      <c r="H159" s="36"/>
      <c r="I159" s="37"/>
      <c r="J159" s="1"/>
      <c r="K159" s="1"/>
      <c r="L159" s="1"/>
      <c r="M159" s="1"/>
    </row>
    <row r="160" spans="1:13" ht="40.5" customHeight="1">
      <c r="A160" s="7">
        <v>31</v>
      </c>
      <c r="B160" s="9">
        <v>46517</v>
      </c>
      <c r="C160" s="9">
        <v>46523</v>
      </c>
      <c r="D160" s="27" t="s">
        <v>427</v>
      </c>
      <c r="E160" s="27">
        <v>2</v>
      </c>
      <c r="F160" s="8" t="s">
        <v>450</v>
      </c>
      <c r="G160" s="35" t="s">
        <v>14</v>
      </c>
      <c r="H160" s="36"/>
      <c r="I160" s="37"/>
      <c r="J160" s="1"/>
      <c r="K160" s="1"/>
      <c r="L160" s="1"/>
      <c r="M160" s="1"/>
    </row>
    <row r="161" spans="1:13" ht="40.5" customHeight="1">
      <c r="A161" s="7">
        <v>31</v>
      </c>
      <c r="B161" s="9">
        <v>46517</v>
      </c>
      <c r="C161" s="9">
        <v>46523</v>
      </c>
      <c r="D161" s="27" t="s">
        <v>427</v>
      </c>
      <c r="E161" s="27">
        <v>3</v>
      </c>
      <c r="F161" s="8" t="s">
        <v>430</v>
      </c>
      <c r="G161" s="35" t="s">
        <v>14</v>
      </c>
      <c r="H161" s="36"/>
      <c r="I161" s="37"/>
      <c r="J161" s="1"/>
      <c r="K161" s="1"/>
      <c r="L161" s="1"/>
      <c r="M161" s="1"/>
    </row>
    <row r="162" spans="1:13" ht="40.5" customHeight="1">
      <c r="A162" s="7">
        <v>31</v>
      </c>
      <c r="B162" s="9">
        <v>46517</v>
      </c>
      <c r="C162" s="9">
        <v>46523</v>
      </c>
      <c r="D162" s="27" t="s">
        <v>427</v>
      </c>
      <c r="E162" s="27">
        <v>4</v>
      </c>
      <c r="F162" s="8" t="s">
        <v>431</v>
      </c>
      <c r="G162" s="35" t="s">
        <v>14</v>
      </c>
      <c r="H162" s="36"/>
      <c r="I162" s="37"/>
      <c r="J162" s="1"/>
      <c r="K162" s="1"/>
      <c r="L162" s="1"/>
      <c r="M162" s="1"/>
    </row>
    <row r="163" spans="1:13" ht="40.5" customHeight="1">
      <c r="A163" s="7">
        <v>31</v>
      </c>
      <c r="B163" s="9">
        <v>46517</v>
      </c>
      <c r="C163" s="9">
        <v>46523</v>
      </c>
      <c r="D163" s="27" t="s">
        <v>427</v>
      </c>
      <c r="E163" s="27">
        <v>5</v>
      </c>
      <c r="F163" s="8" t="s">
        <v>432</v>
      </c>
      <c r="G163" s="35" t="s">
        <v>14</v>
      </c>
      <c r="H163" s="36"/>
      <c r="I163" s="37"/>
      <c r="J163" s="1"/>
      <c r="K163" s="1"/>
      <c r="L163" s="1"/>
      <c r="M163" s="1"/>
    </row>
    <row r="164" spans="1:13" ht="40.5" customHeight="1">
      <c r="A164" s="7">
        <v>32</v>
      </c>
      <c r="B164" s="9">
        <v>46524</v>
      </c>
      <c r="C164" s="9">
        <v>46530</v>
      </c>
      <c r="D164" s="27" t="s">
        <v>427</v>
      </c>
      <c r="E164" s="27">
        <v>1</v>
      </c>
      <c r="F164" s="8" t="s">
        <v>428</v>
      </c>
      <c r="G164" s="35" t="s">
        <v>14</v>
      </c>
      <c r="H164" s="36"/>
      <c r="I164" s="37"/>
      <c r="J164" s="1"/>
      <c r="K164" s="1"/>
      <c r="L164" s="1"/>
      <c r="M164" s="1"/>
    </row>
    <row r="165" spans="1:13" ht="40.5" customHeight="1">
      <c r="A165" s="7">
        <v>32</v>
      </c>
      <c r="B165" s="9">
        <v>46524</v>
      </c>
      <c r="C165" s="9">
        <v>46530</v>
      </c>
      <c r="D165" s="27" t="s">
        <v>427</v>
      </c>
      <c r="E165" s="27">
        <v>2</v>
      </c>
      <c r="F165" s="8" t="s">
        <v>451</v>
      </c>
      <c r="G165" s="35" t="s">
        <v>14</v>
      </c>
      <c r="H165" s="36"/>
      <c r="I165" s="37"/>
      <c r="J165" s="1"/>
      <c r="K165" s="1"/>
      <c r="L165" s="1"/>
      <c r="M165" s="1"/>
    </row>
    <row r="166" spans="1:13" ht="40.5" customHeight="1">
      <c r="A166" s="7">
        <v>32</v>
      </c>
      <c r="B166" s="9">
        <v>46524</v>
      </c>
      <c r="C166" s="9">
        <v>46530</v>
      </c>
      <c r="D166" s="27" t="s">
        <v>427</v>
      </c>
      <c r="E166" s="27">
        <v>3</v>
      </c>
      <c r="F166" s="8" t="s">
        <v>430</v>
      </c>
      <c r="G166" s="35" t="s">
        <v>14</v>
      </c>
      <c r="H166" s="36"/>
      <c r="I166" s="37"/>
      <c r="J166" s="1"/>
      <c r="K166" s="1"/>
      <c r="L166" s="1"/>
      <c r="M166" s="1"/>
    </row>
    <row r="167" spans="1:13" ht="40.5" customHeight="1">
      <c r="A167" s="7">
        <v>32</v>
      </c>
      <c r="B167" s="9">
        <v>46524</v>
      </c>
      <c r="C167" s="9">
        <v>46530</v>
      </c>
      <c r="D167" s="27" t="s">
        <v>427</v>
      </c>
      <c r="E167" s="27">
        <v>4</v>
      </c>
      <c r="F167" s="8" t="s">
        <v>431</v>
      </c>
      <c r="G167" s="35" t="s">
        <v>14</v>
      </c>
      <c r="H167" s="36"/>
      <c r="I167" s="37"/>
      <c r="J167" s="1"/>
      <c r="K167" s="1"/>
      <c r="L167" s="1"/>
      <c r="M167" s="1"/>
    </row>
    <row r="168" spans="1:13" ht="40.5" customHeight="1">
      <c r="A168" s="7">
        <v>32</v>
      </c>
      <c r="B168" s="9">
        <v>46524</v>
      </c>
      <c r="C168" s="9">
        <v>46530</v>
      </c>
      <c r="D168" s="27" t="s">
        <v>427</v>
      </c>
      <c r="E168" s="27">
        <v>5</v>
      </c>
      <c r="F168" s="8" t="s">
        <v>432</v>
      </c>
      <c r="G168" s="35" t="s">
        <v>14</v>
      </c>
      <c r="H168" s="36"/>
      <c r="I168" s="37"/>
      <c r="J168" s="1"/>
      <c r="K168" s="1"/>
      <c r="L168" s="1"/>
      <c r="M168" s="1"/>
    </row>
    <row r="169" spans="1:13" ht="40.5" customHeight="1">
      <c r="A169" s="7">
        <v>33</v>
      </c>
      <c r="B169" s="9">
        <v>46531</v>
      </c>
      <c r="C169" s="9">
        <v>46537</v>
      </c>
      <c r="D169" s="27" t="s">
        <v>452</v>
      </c>
      <c r="E169" s="27">
        <v>1</v>
      </c>
      <c r="F169" s="8" t="s">
        <v>453</v>
      </c>
      <c r="G169" s="35" t="s">
        <v>14</v>
      </c>
      <c r="H169" s="36"/>
      <c r="I169" s="37"/>
      <c r="J169" s="1"/>
      <c r="K169" s="1"/>
      <c r="L169" s="1"/>
      <c r="M169" s="1"/>
    </row>
    <row r="170" spans="1:13" ht="40.5" customHeight="1">
      <c r="A170" s="7">
        <v>33</v>
      </c>
      <c r="B170" s="9">
        <v>46531</v>
      </c>
      <c r="C170" s="9">
        <v>46537</v>
      </c>
      <c r="D170" s="27" t="s">
        <v>452</v>
      </c>
      <c r="E170" s="27">
        <v>2</v>
      </c>
      <c r="F170" s="8" t="s">
        <v>454</v>
      </c>
      <c r="G170" s="35" t="s">
        <v>14</v>
      </c>
      <c r="H170" s="36"/>
      <c r="I170" s="37"/>
      <c r="J170" s="1"/>
      <c r="K170" s="1"/>
      <c r="L170" s="1"/>
      <c r="M170" s="1"/>
    </row>
    <row r="171" spans="1:13" ht="40.5" customHeight="1">
      <c r="A171" s="7">
        <v>33</v>
      </c>
      <c r="B171" s="9">
        <v>46531</v>
      </c>
      <c r="C171" s="9">
        <v>46537</v>
      </c>
      <c r="D171" s="27" t="s">
        <v>452</v>
      </c>
      <c r="E171" s="27">
        <v>3</v>
      </c>
      <c r="F171" s="8" t="s">
        <v>455</v>
      </c>
      <c r="G171" s="35" t="s">
        <v>14</v>
      </c>
      <c r="H171" s="36"/>
      <c r="I171" s="37"/>
      <c r="J171" s="1"/>
      <c r="K171" s="1"/>
      <c r="L171" s="1"/>
      <c r="M171" s="1"/>
    </row>
    <row r="172" spans="1:13" ht="40.5" customHeight="1">
      <c r="A172" s="7">
        <v>33</v>
      </c>
      <c r="B172" s="9">
        <v>46531</v>
      </c>
      <c r="C172" s="9">
        <v>46537</v>
      </c>
      <c r="D172" s="27" t="s">
        <v>452</v>
      </c>
      <c r="E172" s="27">
        <v>4</v>
      </c>
      <c r="F172" s="8" t="s">
        <v>456</v>
      </c>
      <c r="G172" s="35" t="s">
        <v>14</v>
      </c>
      <c r="H172" s="36"/>
      <c r="I172" s="37"/>
      <c r="J172" s="1"/>
      <c r="K172" s="1"/>
      <c r="L172" s="1"/>
      <c r="M172" s="1"/>
    </row>
    <row r="173" spans="1:13" ht="40.5" customHeight="1">
      <c r="A173" s="7">
        <v>33</v>
      </c>
      <c r="B173" s="9">
        <v>46531</v>
      </c>
      <c r="C173" s="9">
        <v>46537</v>
      </c>
      <c r="D173" s="27" t="s">
        <v>452</v>
      </c>
      <c r="E173" s="27">
        <v>5</v>
      </c>
      <c r="F173" s="8" t="s">
        <v>457</v>
      </c>
      <c r="G173" s="35" t="s">
        <v>14</v>
      </c>
      <c r="H173" s="36"/>
      <c r="I173" s="37"/>
      <c r="J173" s="1"/>
      <c r="K173" s="1"/>
      <c r="L173" s="1"/>
      <c r="M173" s="1"/>
    </row>
    <row r="174" spans="1:13" ht="40.5" customHeight="1">
      <c r="A174" s="7">
        <v>34</v>
      </c>
      <c r="B174" s="9">
        <v>46538</v>
      </c>
      <c r="C174" s="9">
        <v>46544</v>
      </c>
      <c r="D174" s="27" t="s">
        <v>452</v>
      </c>
      <c r="E174" s="27">
        <v>1</v>
      </c>
      <c r="F174" s="8" t="s">
        <v>453</v>
      </c>
      <c r="G174" s="35" t="s">
        <v>14</v>
      </c>
      <c r="H174" s="36"/>
      <c r="I174" s="37"/>
      <c r="J174" s="1"/>
      <c r="K174" s="1"/>
      <c r="L174" s="1"/>
      <c r="M174" s="1"/>
    </row>
    <row r="175" spans="1:13" ht="40.5" customHeight="1">
      <c r="A175" s="7">
        <v>34</v>
      </c>
      <c r="B175" s="9">
        <v>46538</v>
      </c>
      <c r="C175" s="9">
        <v>46544</v>
      </c>
      <c r="D175" s="27" t="s">
        <v>452</v>
      </c>
      <c r="E175" s="27">
        <v>2</v>
      </c>
      <c r="F175" s="8" t="s">
        <v>458</v>
      </c>
      <c r="G175" s="35" t="s">
        <v>14</v>
      </c>
      <c r="H175" s="36"/>
      <c r="I175" s="37"/>
      <c r="J175" s="1"/>
      <c r="K175" s="1"/>
      <c r="L175" s="1"/>
      <c r="M175" s="1"/>
    </row>
    <row r="176" spans="1:13" ht="40.5" customHeight="1">
      <c r="A176" s="7">
        <v>34</v>
      </c>
      <c r="B176" s="9">
        <v>46538</v>
      </c>
      <c r="C176" s="9">
        <v>46544</v>
      </c>
      <c r="D176" s="27" t="s">
        <v>452</v>
      </c>
      <c r="E176" s="27">
        <v>3</v>
      </c>
      <c r="F176" s="8" t="s">
        <v>455</v>
      </c>
      <c r="G176" s="35" t="s">
        <v>14</v>
      </c>
      <c r="H176" s="36"/>
      <c r="I176" s="37"/>
      <c r="J176" s="1"/>
      <c r="K176" s="1"/>
      <c r="L176" s="1"/>
      <c r="M176" s="1"/>
    </row>
    <row r="177" spans="1:13" ht="40.5" customHeight="1">
      <c r="A177" s="7">
        <v>34</v>
      </c>
      <c r="B177" s="9">
        <v>46538</v>
      </c>
      <c r="C177" s="9">
        <v>46544</v>
      </c>
      <c r="D177" s="27" t="s">
        <v>452</v>
      </c>
      <c r="E177" s="27">
        <v>4</v>
      </c>
      <c r="F177" s="8" t="s">
        <v>456</v>
      </c>
      <c r="G177" s="35" t="s">
        <v>14</v>
      </c>
      <c r="H177" s="36"/>
      <c r="I177" s="37"/>
      <c r="J177" s="1"/>
      <c r="K177" s="1"/>
      <c r="L177" s="1"/>
      <c r="M177" s="1"/>
    </row>
    <row r="178" spans="1:13" ht="40.5" customHeight="1">
      <c r="A178" s="7">
        <v>34</v>
      </c>
      <c r="B178" s="9">
        <v>46538</v>
      </c>
      <c r="C178" s="9">
        <v>46544</v>
      </c>
      <c r="D178" s="27" t="s">
        <v>452</v>
      </c>
      <c r="E178" s="27">
        <v>5</v>
      </c>
      <c r="F178" s="8" t="s">
        <v>457</v>
      </c>
      <c r="G178" s="35" t="s">
        <v>14</v>
      </c>
      <c r="H178" s="36"/>
      <c r="I178" s="37"/>
      <c r="J178" s="1"/>
      <c r="K178" s="1"/>
      <c r="L178" s="1"/>
      <c r="M178" s="1"/>
    </row>
    <row r="179" spans="1:13" ht="40.5" customHeight="1">
      <c r="A179" s="7">
        <v>35</v>
      </c>
      <c r="B179" s="9">
        <v>46545</v>
      </c>
      <c r="C179" s="9">
        <v>46551</v>
      </c>
      <c r="D179" s="27" t="s">
        <v>452</v>
      </c>
      <c r="E179" s="27">
        <v>1</v>
      </c>
      <c r="F179" s="8" t="s">
        <v>453</v>
      </c>
      <c r="G179" s="35" t="s">
        <v>14</v>
      </c>
      <c r="H179" s="36"/>
      <c r="I179" s="37"/>
      <c r="J179" s="1"/>
      <c r="K179" s="1"/>
      <c r="L179" s="1"/>
      <c r="M179" s="1"/>
    </row>
    <row r="180" spans="1:13" ht="40.5" customHeight="1">
      <c r="A180" s="7">
        <v>35</v>
      </c>
      <c r="B180" s="9">
        <v>46545</v>
      </c>
      <c r="C180" s="9">
        <v>46551</v>
      </c>
      <c r="D180" s="27" t="s">
        <v>452</v>
      </c>
      <c r="E180" s="27">
        <v>2</v>
      </c>
      <c r="F180" s="8" t="s">
        <v>459</v>
      </c>
      <c r="G180" s="35" t="s">
        <v>14</v>
      </c>
      <c r="H180" s="36"/>
      <c r="I180" s="37"/>
      <c r="J180" s="1"/>
      <c r="K180" s="1"/>
      <c r="L180" s="1"/>
      <c r="M180" s="1"/>
    </row>
    <row r="181" spans="1:13" ht="40.5" customHeight="1">
      <c r="A181" s="7">
        <v>35</v>
      </c>
      <c r="B181" s="9">
        <v>46545</v>
      </c>
      <c r="C181" s="9">
        <v>46551</v>
      </c>
      <c r="D181" s="27" t="s">
        <v>452</v>
      </c>
      <c r="E181" s="27">
        <v>3</v>
      </c>
      <c r="F181" s="8" t="s">
        <v>455</v>
      </c>
      <c r="G181" s="35" t="s">
        <v>14</v>
      </c>
      <c r="H181" s="36"/>
      <c r="I181" s="37"/>
      <c r="J181" s="1"/>
      <c r="K181" s="1"/>
      <c r="L181" s="1"/>
      <c r="M181" s="1"/>
    </row>
    <row r="182" spans="1:13" ht="40.5" customHeight="1">
      <c r="A182" s="7">
        <v>35</v>
      </c>
      <c r="B182" s="9">
        <v>46545</v>
      </c>
      <c r="C182" s="9">
        <v>46551</v>
      </c>
      <c r="D182" s="27" t="s">
        <v>452</v>
      </c>
      <c r="E182" s="27">
        <v>4</v>
      </c>
      <c r="F182" s="8" t="s">
        <v>456</v>
      </c>
      <c r="G182" s="35" t="s">
        <v>14</v>
      </c>
      <c r="H182" s="36"/>
      <c r="I182" s="37"/>
      <c r="J182" s="1"/>
      <c r="K182" s="1"/>
      <c r="L182" s="1"/>
      <c r="M182" s="1"/>
    </row>
    <row r="183" spans="1:13" ht="40.5" customHeight="1">
      <c r="A183" s="7">
        <v>35</v>
      </c>
      <c r="B183" s="9">
        <v>46545</v>
      </c>
      <c r="C183" s="9">
        <v>46551</v>
      </c>
      <c r="D183" s="27" t="s">
        <v>452</v>
      </c>
      <c r="E183" s="27">
        <v>5</v>
      </c>
      <c r="F183" s="8" t="s">
        <v>457</v>
      </c>
      <c r="G183" s="35" t="s">
        <v>14</v>
      </c>
      <c r="H183" s="36"/>
      <c r="I183" s="37"/>
      <c r="J183" s="1"/>
      <c r="K183" s="1"/>
      <c r="L183" s="1"/>
      <c r="M183" s="1"/>
    </row>
    <row r="184" spans="1:13" ht="40.5" customHeight="1">
      <c r="A184" s="7">
        <v>36</v>
      </c>
      <c r="B184" s="9">
        <v>46552</v>
      </c>
      <c r="C184" s="9">
        <v>46558</v>
      </c>
      <c r="D184" s="27" t="s">
        <v>452</v>
      </c>
      <c r="E184" s="27">
        <v>1</v>
      </c>
      <c r="F184" s="8" t="s">
        <v>453</v>
      </c>
      <c r="G184" s="35" t="s">
        <v>14</v>
      </c>
      <c r="H184" s="36"/>
      <c r="I184" s="37"/>
      <c r="J184" s="1"/>
      <c r="K184" s="1"/>
      <c r="L184" s="1"/>
      <c r="M184" s="1"/>
    </row>
    <row r="185" spans="1:13" ht="40.5" customHeight="1">
      <c r="A185" s="7">
        <v>36</v>
      </c>
      <c r="B185" s="9">
        <v>46552</v>
      </c>
      <c r="C185" s="9">
        <v>46558</v>
      </c>
      <c r="D185" s="27" t="s">
        <v>452</v>
      </c>
      <c r="E185" s="27">
        <v>2</v>
      </c>
      <c r="F185" s="8" t="s">
        <v>460</v>
      </c>
      <c r="G185" s="35" t="s">
        <v>14</v>
      </c>
      <c r="H185" s="36"/>
      <c r="I185" s="37"/>
      <c r="J185" s="1"/>
      <c r="K185" s="1"/>
      <c r="L185" s="1"/>
      <c r="M185" s="1"/>
    </row>
    <row r="186" spans="1:13" ht="40.5" customHeight="1">
      <c r="A186" s="7">
        <v>36</v>
      </c>
      <c r="B186" s="9">
        <v>46552</v>
      </c>
      <c r="C186" s="9">
        <v>46558</v>
      </c>
      <c r="D186" s="27" t="s">
        <v>452</v>
      </c>
      <c r="E186" s="27">
        <v>3</v>
      </c>
      <c r="F186" s="8" t="s">
        <v>455</v>
      </c>
      <c r="G186" s="35" t="s">
        <v>14</v>
      </c>
      <c r="H186" s="36"/>
      <c r="I186" s="37"/>
      <c r="J186" s="1"/>
      <c r="K186" s="1"/>
      <c r="L186" s="1"/>
      <c r="M186" s="1"/>
    </row>
    <row r="187" spans="1:13" ht="40.5" customHeight="1">
      <c r="A187" s="7">
        <v>36</v>
      </c>
      <c r="B187" s="9">
        <v>46552</v>
      </c>
      <c r="C187" s="9">
        <v>46558</v>
      </c>
      <c r="D187" s="27" t="s">
        <v>452</v>
      </c>
      <c r="E187" s="27">
        <v>4</v>
      </c>
      <c r="F187" s="8" t="s">
        <v>456</v>
      </c>
      <c r="G187" s="35" t="s">
        <v>14</v>
      </c>
      <c r="H187" s="36"/>
      <c r="I187" s="37"/>
      <c r="J187" s="1"/>
      <c r="K187" s="1"/>
      <c r="L187" s="1"/>
      <c r="M187" s="1"/>
    </row>
    <row r="188" spans="1:13" ht="40.5" customHeight="1">
      <c r="A188" s="7">
        <v>36</v>
      </c>
      <c r="B188" s="9">
        <v>46552</v>
      </c>
      <c r="C188" s="9">
        <v>46558</v>
      </c>
      <c r="D188" s="27" t="s">
        <v>452</v>
      </c>
      <c r="E188" s="27">
        <v>5</v>
      </c>
      <c r="F188" s="8" t="s">
        <v>457</v>
      </c>
      <c r="G188" s="35" t="s">
        <v>14</v>
      </c>
      <c r="H188" s="36"/>
      <c r="I188" s="37"/>
      <c r="J188" s="1"/>
      <c r="K188" s="1"/>
      <c r="L188" s="1"/>
      <c r="M188" s="1"/>
    </row>
    <row r="189" spans="1:13" ht="40.5" customHeight="1">
      <c r="A189" s="7">
        <v>37</v>
      </c>
      <c r="B189" s="9">
        <v>46559</v>
      </c>
      <c r="C189" s="9">
        <v>46565</v>
      </c>
      <c r="D189" s="27" t="s">
        <v>452</v>
      </c>
      <c r="E189" s="27">
        <v>1</v>
      </c>
      <c r="F189" s="8" t="s">
        <v>453</v>
      </c>
      <c r="G189" s="35" t="s">
        <v>14</v>
      </c>
      <c r="H189" s="36"/>
      <c r="I189" s="37"/>
      <c r="J189" s="1"/>
      <c r="K189" s="1"/>
      <c r="L189" s="1"/>
      <c r="M189" s="1"/>
    </row>
    <row r="190" spans="1:13" ht="40.5" customHeight="1">
      <c r="A190" s="7">
        <v>37</v>
      </c>
      <c r="B190" s="9">
        <v>46559</v>
      </c>
      <c r="C190" s="9">
        <v>46565</v>
      </c>
      <c r="D190" s="27" t="s">
        <v>452</v>
      </c>
      <c r="E190" s="27">
        <v>2</v>
      </c>
      <c r="F190" s="8" t="s">
        <v>461</v>
      </c>
      <c r="G190" s="35" t="s">
        <v>14</v>
      </c>
      <c r="H190" s="36"/>
      <c r="I190" s="37"/>
      <c r="J190" s="1"/>
      <c r="K190" s="1"/>
      <c r="L190" s="1"/>
      <c r="M190" s="1"/>
    </row>
    <row r="191" spans="1:13" ht="40.5" customHeight="1">
      <c r="A191" s="7">
        <v>37</v>
      </c>
      <c r="B191" s="9">
        <v>46559</v>
      </c>
      <c r="C191" s="9">
        <v>46565</v>
      </c>
      <c r="D191" s="27" t="s">
        <v>452</v>
      </c>
      <c r="E191" s="27">
        <v>3</v>
      </c>
      <c r="F191" s="8" t="s">
        <v>455</v>
      </c>
      <c r="G191" s="35" t="s">
        <v>14</v>
      </c>
      <c r="H191" s="36"/>
      <c r="I191" s="37"/>
      <c r="J191" s="1"/>
      <c r="K191" s="1"/>
      <c r="L191" s="1"/>
      <c r="M191" s="1"/>
    </row>
    <row r="192" spans="1:13" ht="40.5" customHeight="1">
      <c r="A192" s="7">
        <v>37</v>
      </c>
      <c r="B192" s="9">
        <v>46559</v>
      </c>
      <c r="C192" s="9">
        <v>46565</v>
      </c>
      <c r="D192" s="27" t="s">
        <v>452</v>
      </c>
      <c r="E192" s="27">
        <v>4</v>
      </c>
      <c r="F192" s="8" t="s">
        <v>456</v>
      </c>
      <c r="G192" s="35" t="s">
        <v>14</v>
      </c>
      <c r="H192" s="36"/>
      <c r="I192" s="37"/>
      <c r="J192" s="1"/>
      <c r="K192" s="1"/>
      <c r="L192" s="1"/>
      <c r="M192" s="1"/>
    </row>
    <row r="193" spans="1:13" ht="40.5" customHeight="1">
      <c r="A193" s="7">
        <v>37</v>
      </c>
      <c r="B193" s="9">
        <v>46559</v>
      </c>
      <c r="C193" s="9">
        <v>46565</v>
      </c>
      <c r="D193" s="27" t="s">
        <v>452</v>
      </c>
      <c r="E193" s="27">
        <v>5</v>
      </c>
      <c r="F193" s="8" t="s">
        <v>457</v>
      </c>
      <c r="G193" s="35" t="s">
        <v>14</v>
      </c>
      <c r="H193" s="36"/>
      <c r="I193" s="37"/>
      <c r="J193" s="1"/>
      <c r="K193" s="1"/>
      <c r="L193" s="1"/>
      <c r="M193" s="1"/>
    </row>
    <row r="194" spans="1:13" ht="40.5" customHeight="1">
      <c r="A194" s="7">
        <v>38</v>
      </c>
      <c r="B194" s="9">
        <v>46566</v>
      </c>
      <c r="C194" s="9">
        <v>46572</v>
      </c>
      <c r="D194" s="27" t="s">
        <v>452</v>
      </c>
      <c r="E194" s="27">
        <v>1</v>
      </c>
      <c r="F194" s="8" t="s">
        <v>453</v>
      </c>
      <c r="G194" s="35" t="s">
        <v>14</v>
      </c>
      <c r="H194" s="36"/>
      <c r="I194" s="37"/>
      <c r="J194" s="1"/>
      <c r="K194" s="1"/>
      <c r="L194" s="1"/>
      <c r="M194" s="1"/>
    </row>
    <row r="195" spans="1:13" ht="40.5" customHeight="1">
      <c r="A195" s="7">
        <v>38</v>
      </c>
      <c r="B195" s="9">
        <v>46566</v>
      </c>
      <c r="C195" s="9">
        <v>46572</v>
      </c>
      <c r="D195" s="27" t="s">
        <v>452</v>
      </c>
      <c r="E195" s="27">
        <v>2</v>
      </c>
      <c r="F195" s="8" t="s">
        <v>462</v>
      </c>
      <c r="G195" s="35" t="s">
        <v>14</v>
      </c>
      <c r="H195" s="36"/>
      <c r="I195" s="37"/>
      <c r="J195" s="1"/>
      <c r="K195" s="1"/>
      <c r="L195" s="1"/>
      <c r="M195" s="1"/>
    </row>
    <row r="196" spans="1:13" ht="40.5" customHeight="1">
      <c r="A196" s="7">
        <v>38</v>
      </c>
      <c r="B196" s="9">
        <v>46566</v>
      </c>
      <c r="C196" s="9">
        <v>46572</v>
      </c>
      <c r="D196" s="27" t="s">
        <v>452</v>
      </c>
      <c r="E196" s="27">
        <v>3</v>
      </c>
      <c r="F196" s="8" t="s">
        <v>455</v>
      </c>
      <c r="G196" s="35" t="s">
        <v>14</v>
      </c>
      <c r="H196" s="36"/>
      <c r="I196" s="37"/>
      <c r="J196" s="1"/>
      <c r="K196" s="1"/>
      <c r="L196" s="1"/>
      <c r="M196" s="1"/>
    </row>
    <row r="197" spans="1:13" ht="40.5" customHeight="1">
      <c r="A197" s="7">
        <v>38</v>
      </c>
      <c r="B197" s="9">
        <v>46566</v>
      </c>
      <c r="C197" s="9">
        <v>46572</v>
      </c>
      <c r="D197" s="27" t="s">
        <v>452</v>
      </c>
      <c r="E197" s="27">
        <v>4</v>
      </c>
      <c r="F197" s="8" t="s">
        <v>456</v>
      </c>
      <c r="G197" s="35" t="s">
        <v>14</v>
      </c>
      <c r="H197" s="36"/>
      <c r="I197" s="37"/>
      <c r="J197" s="1"/>
      <c r="K197" s="1"/>
      <c r="L197" s="1"/>
      <c r="M197" s="1"/>
    </row>
    <row r="198" spans="1:13" ht="40.5" customHeight="1">
      <c r="A198" s="7">
        <v>38</v>
      </c>
      <c r="B198" s="9">
        <v>46566</v>
      </c>
      <c r="C198" s="9">
        <v>46572</v>
      </c>
      <c r="D198" s="27" t="s">
        <v>452</v>
      </c>
      <c r="E198" s="27">
        <v>5</v>
      </c>
      <c r="F198" s="8" t="s">
        <v>457</v>
      </c>
      <c r="G198" s="35" t="s">
        <v>14</v>
      </c>
      <c r="H198" s="36"/>
      <c r="I198" s="37"/>
      <c r="J198" s="1"/>
      <c r="K198" s="1"/>
      <c r="L198" s="1"/>
      <c r="M198" s="1"/>
    </row>
    <row r="199" spans="1:13" ht="40.5" customHeight="1">
      <c r="A199" s="7">
        <v>39</v>
      </c>
      <c r="B199" s="9">
        <v>46573</v>
      </c>
      <c r="C199" s="9">
        <v>46579</v>
      </c>
      <c r="D199" s="27" t="s">
        <v>452</v>
      </c>
      <c r="E199" s="27">
        <v>1</v>
      </c>
      <c r="F199" s="8" t="s">
        <v>453</v>
      </c>
      <c r="G199" s="35" t="s">
        <v>14</v>
      </c>
      <c r="H199" s="36"/>
      <c r="I199" s="37"/>
      <c r="J199" s="1"/>
      <c r="K199" s="1"/>
      <c r="L199" s="1"/>
      <c r="M199" s="1"/>
    </row>
    <row r="200" spans="1:13" ht="40.5" customHeight="1">
      <c r="A200" s="7">
        <v>39</v>
      </c>
      <c r="B200" s="9">
        <v>46573</v>
      </c>
      <c r="C200" s="9">
        <v>46579</v>
      </c>
      <c r="D200" s="27" t="s">
        <v>452</v>
      </c>
      <c r="E200" s="27">
        <v>2</v>
      </c>
      <c r="F200" s="8" t="s">
        <v>463</v>
      </c>
      <c r="G200" s="35" t="s">
        <v>14</v>
      </c>
      <c r="H200" s="36"/>
      <c r="I200" s="37"/>
      <c r="J200" s="1"/>
      <c r="K200" s="1"/>
      <c r="L200" s="1"/>
      <c r="M200" s="1"/>
    </row>
    <row r="201" spans="1:13" ht="40.5" customHeight="1">
      <c r="A201" s="7">
        <v>39</v>
      </c>
      <c r="B201" s="9">
        <v>46573</v>
      </c>
      <c r="C201" s="9">
        <v>46579</v>
      </c>
      <c r="D201" s="27" t="s">
        <v>452</v>
      </c>
      <c r="E201" s="27">
        <v>3</v>
      </c>
      <c r="F201" s="8" t="s">
        <v>455</v>
      </c>
      <c r="G201" s="35" t="s">
        <v>14</v>
      </c>
      <c r="H201" s="36"/>
      <c r="I201" s="37"/>
      <c r="J201" s="1"/>
      <c r="K201" s="1"/>
      <c r="L201" s="1"/>
      <c r="M201" s="1"/>
    </row>
    <row r="202" spans="1:13" ht="40.5" customHeight="1">
      <c r="A202" s="7">
        <v>39</v>
      </c>
      <c r="B202" s="9">
        <v>46573</v>
      </c>
      <c r="C202" s="9">
        <v>46579</v>
      </c>
      <c r="D202" s="27" t="s">
        <v>452</v>
      </c>
      <c r="E202" s="27">
        <v>4</v>
      </c>
      <c r="F202" s="8" t="s">
        <v>456</v>
      </c>
      <c r="G202" s="35" t="s">
        <v>14</v>
      </c>
      <c r="H202" s="36"/>
      <c r="I202" s="37"/>
      <c r="J202" s="1"/>
      <c r="K202" s="1"/>
      <c r="L202" s="1"/>
      <c r="M202" s="1"/>
    </row>
    <row r="203" spans="1:13" ht="40.5" customHeight="1">
      <c r="A203" s="7">
        <v>39</v>
      </c>
      <c r="B203" s="9">
        <v>46573</v>
      </c>
      <c r="C203" s="9">
        <v>46579</v>
      </c>
      <c r="D203" s="27" t="s">
        <v>452</v>
      </c>
      <c r="E203" s="27">
        <v>5</v>
      </c>
      <c r="F203" s="8" t="s">
        <v>457</v>
      </c>
      <c r="G203" s="35" t="s">
        <v>14</v>
      </c>
      <c r="H203" s="36"/>
      <c r="I203" s="37"/>
      <c r="J203" s="1"/>
      <c r="K203" s="1"/>
      <c r="L203" s="1"/>
      <c r="M203" s="1"/>
    </row>
    <row r="204" spans="1:13" ht="40.5" customHeight="1">
      <c r="A204" s="7">
        <v>40</v>
      </c>
      <c r="B204" s="9">
        <v>46580</v>
      </c>
      <c r="C204" s="9">
        <v>46586</v>
      </c>
      <c r="D204" s="27" t="s">
        <v>452</v>
      </c>
      <c r="E204" s="27">
        <v>1</v>
      </c>
      <c r="F204" s="8" t="s">
        <v>453</v>
      </c>
      <c r="G204" s="35" t="s">
        <v>14</v>
      </c>
      <c r="H204" s="36"/>
      <c r="I204" s="37"/>
      <c r="J204" s="1"/>
      <c r="K204" s="1"/>
      <c r="L204" s="1"/>
      <c r="M204" s="1"/>
    </row>
    <row r="205" spans="1:13" ht="40.5" customHeight="1">
      <c r="A205" s="7">
        <v>40</v>
      </c>
      <c r="B205" s="9">
        <v>46580</v>
      </c>
      <c r="C205" s="9">
        <v>46586</v>
      </c>
      <c r="D205" s="27" t="s">
        <v>452</v>
      </c>
      <c r="E205" s="27">
        <v>2</v>
      </c>
      <c r="F205" s="8" t="s">
        <v>464</v>
      </c>
      <c r="G205" s="35" t="s">
        <v>14</v>
      </c>
      <c r="H205" s="36"/>
      <c r="I205" s="37"/>
      <c r="J205" s="1"/>
      <c r="K205" s="1"/>
      <c r="L205" s="1"/>
      <c r="M205" s="1"/>
    </row>
    <row r="206" spans="1:13" ht="40.5" customHeight="1">
      <c r="A206" s="7">
        <v>40</v>
      </c>
      <c r="B206" s="9">
        <v>46580</v>
      </c>
      <c r="C206" s="9">
        <v>46586</v>
      </c>
      <c r="D206" s="27" t="s">
        <v>452</v>
      </c>
      <c r="E206" s="27">
        <v>3</v>
      </c>
      <c r="F206" s="8" t="s">
        <v>455</v>
      </c>
      <c r="G206" s="35" t="s">
        <v>14</v>
      </c>
      <c r="H206" s="36"/>
      <c r="I206" s="37"/>
      <c r="J206" s="1"/>
      <c r="K206" s="1"/>
      <c r="L206" s="1"/>
      <c r="M206" s="1"/>
    </row>
    <row r="207" spans="1:13" ht="40.5" customHeight="1">
      <c r="A207" s="7">
        <v>40</v>
      </c>
      <c r="B207" s="9">
        <v>46580</v>
      </c>
      <c r="C207" s="9">
        <v>46586</v>
      </c>
      <c r="D207" s="27" t="s">
        <v>452</v>
      </c>
      <c r="E207" s="27">
        <v>4</v>
      </c>
      <c r="F207" s="8" t="s">
        <v>456</v>
      </c>
      <c r="G207" s="35" t="s">
        <v>14</v>
      </c>
      <c r="H207" s="36"/>
      <c r="I207" s="37"/>
      <c r="J207" s="1"/>
      <c r="K207" s="1"/>
      <c r="L207" s="1"/>
      <c r="M207" s="1"/>
    </row>
    <row r="208" spans="1:13" ht="40.5" customHeight="1">
      <c r="A208" s="7">
        <v>40</v>
      </c>
      <c r="B208" s="9">
        <v>46580</v>
      </c>
      <c r="C208" s="9">
        <v>46586</v>
      </c>
      <c r="D208" s="27" t="s">
        <v>452</v>
      </c>
      <c r="E208" s="27">
        <v>5</v>
      </c>
      <c r="F208" s="8" t="s">
        <v>457</v>
      </c>
      <c r="G208" s="35" t="s">
        <v>14</v>
      </c>
      <c r="H208" s="36"/>
      <c r="I208" s="37"/>
      <c r="J208" s="1"/>
      <c r="K208" s="1"/>
      <c r="L208" s="1"/>
      <c r="M208" s="1"/>
    </row>
    <row r="209" spans="1:13" ht="40.5" customHeight="1">
      <c r="A209" s="7">
        <v>41</v>
      </c>
      <c r="B209" s="9">
        <v>46587</v>
      </c>
      <c r="C209" s="9">
        <v>46593</v>
      </c>
      <c r="D209" s="27" t="s">
        <v>452</v>
      </c>
      <c r="E209" s="27">
        <v>1</v>
      </c>
      <c r="F209" s="8" t="s">
        <v>453</v>
      </c>
      <c r="G209" s="35" t="s">
        <v>14</v>
      </c>
      <c r="H209" s="36"/>
      <c r="I209" s="37"/>
      <c r="J209" s="1"/>
      <c r="K209" s="1"/>
      <c r="L209" s="1"/>
      <c r="M209" s="1"/>
    </row>
    <row r="210" spans="1:13" ht="40.5" customHeight="1">
      <c r="A210" s="7">
        <v>41</v>
      </c>
      <c r="B210" s="9">
        <v>46587</v>
      </c>
      <c r="C210" s="9">
        <v>46593</v>
      </c>
      <c r="D210" s="27" t="s">
        <v>452</v>
      </c>
      <c r="E210" s="27">
        <v>2</v>
      </c>
      <c r="F210" s="8" t="s">
        <v>465</v>
      </c>
      <c r="G210" s="35" t="s">
        <v>14</v>
      </c>
      <c r="H210" s="36"/>
      <c r="I210" s="37"/>
      <c r="J210" s="1"/>
      <c r="K210" s="1"/>
      <c r="L210" s="1"/>
      <c r="M210" s="1"/>
    </row>
    <row r="211" spans="1:13" ht="40.5" customHeight="1">
      <c r="A211" s="7">
        <v>41</v>
      </c>
      <c r="B211" s="9">
        <v>46587</v>
      </c>
      <c r="C211" s="9">
        <v>46593</v>
      </c>
      <c r="D211" s="27" t="s">
        <v>452</v>
      </c>
      <c r="E211" s="27">
        <v>3</v>
      </c>
      <c r="F211" s="8" t="s">
        <v>455</v>
      </c>
      <c r="G211" s="35" t="s">
        <v>14</v>
      </c>
      <c r="H211" s="36"/>
      <c r="I211" s="37"/>
      <c r="J211" s="1"/>
      <c r="K211" s="1"/>
      <c r="L211" s="1"/>
      <c r="M211" s="1"/>
    </row>
    <row r="212" spans="1:13" ht="40.5" customHeight="1">
      <c r="A212" s="7">
        <v>41</v>
      </c>
      <c r="B212" s="9">
        <v>46587</v>
      </c>
      <c r="C212" s="9">
        <v>46593</v>
      </c>
      <c r="D212" s="27" t="s">
        <v>452</v>
      </c>
      <c r="E212" s="27">
        <v>4</v>
      </c>
      <c r="F212" s="8" t="s">
        <v>456</v>
      </c>
      <c r="G212" s="35" t="s">
        <v>14</v>
      </c>
      <c r="H212" s="36"/>
      <c r="I212" s="37"/>
      <c r="J212" s="1"/>
      <c r="K212" s="1"/>
      <c r="L212" s="1"/>
      <c r="M212" s="1"/>
    </row>
    <row r="213" spans="1:13" ht="40.5" customHeight="1">
      <c r="A213" s="7">
        <v>41</v>
      </c>
      <c r="B213" s="9">
        <v>46587</v>
      </c>
      <c r="C213" s="9">
        <v>46593</v>
      </c>
      <c r="D213" s="27" t="s">
        <v>452</v>
      </c>
      <c r="E213" s="27">
        <v>5</v>
      </c>
      <c r="F213" s="8" t="s">
        <v>457</v>
      </c>
      <c r="G213" s="35" t="s">
        <v>14</v>
      </c>
      <c r="H213" s="36"/>
      <c r="I213" s="37"/>
      <c r="J213" s="1"/>
      <c r="K213" s="1"/>
      <c r="L213" s="1"/>
      <c r="M213" s="1"/>
    </row>
    <row r="214" spans="1:13" ht="40.5" customHeight="1">
      <c r="A214" s="7">
        <v>42</v>
      </c>
      <c r="B214" s="9">
        <v>46594</v>
      </c>
      <c r="C214" s="9">
        <v>46600</v>
      </c>
      <c r="D214" s="27" t="s">
        <v>452</v>
      </c>
      <c r="E214" s="27">
        <v>1</v>
      </c>
      <c r="F214" s="8" t="s">
        <v>453</v>
      </c>
      <c r="G214" s="35" t="s">
        <v>14</v>
      </c>
      <c r="H214" s="36"/>
      <c r="I214" s="37"/>
      <c r="J214" s="1"/>
      <c r="K214" s="1"/>
      <c r="L214" s="1"/>
      <c r="M214" s="1"/>
    </row>
    <row r="215" spans="1:13" ht="40.5" customHeight="1">
      <c r="A215" s="7">
        <v>42</v>
      </c>
      <c r="B215" s="9">
        <v>46594</v>
      </c>
      <c r="C215" s="9">
        <v>46600</v>
      </c>
      <c r="D215" s="27" t="s">
        <v>452</v>
      </c>
      <c r="E215" s="27">
        <v>2</v>
      </c>
      <c r="F215" s="8" t="s">
        <v>466</v>
      </c>
      <c r="G215" s="35" t="s">
        <v>14</v>
      </c>
      <c r="H215" s="36"/>
      <c r="I215" s="37"/>
      <c r="J215" s="1"/>
      <c r="K215" s="1"/>
      <c r="L215" s="1"/>
      <c r="M215" s="1"/>
    </row>
    <row r="216" spans="1:13" ht="40.5" customHeight="1">
      <c r="A216" s="7">
        <v>42</v>
      </c>
      <c r="B216" s="9">
        <v>46594</v>
      </c>
      <c r="C216" s="9">
        <v>46600</v>
      </c>
      <c r="D216" s="27" t="s">
        <v>452</v>
      </c>
      <c r="E216" s="27">
        <v>3</v>
      </c>
      <c r="F216" s="8" t="s">
        <v>455</v>
      </c>
      <c r="G216" s="35" t="s">
        <v>14</v>
      </c>
      <c r="H216" s="36"/>
      <c r="I216" s="37"/>
      <c r="J216" s="1"/>
      <c r="K216" s="1"/>
      <c r="L216" s="1"/>
      <c r="M216" s="1"/>
    </row>
    <row r="217" spans="1:13" ht="40.5" customHeight="1">
      <c r="A217" s="7">
        <v>42</v>
      </c>
      <c r="B217" s="9">
        <v>46594</v>
      </c>
      <c r="C217" s="9">
        <v>46600</v>
      </c>
      <c r="D217" s="27" t="s">
        <v>452</v>
      </c>
      <c r="E217" s="27">
        <v>4</v>
      </c>
      <c r="F217" s="8" t="s">
        <v>456</v>
      </c>
      <c r="G217" s="35" t="s">
        <v>14</v>
      </c>
      <c r="H217" s="36"/>
      <c r="I217" s="37"/>
      <c r="J217" s="1"/>
      <c r="K217" s="1"/>
      <c r="L217" s="1"/>
      <c r="M217" s="1"/>
    </row>
    <row r="218" spans="1:13" ht="40.5" customHeight="1">
      <c r="A218" s="7">
        <v>42</v>
      </c>
      <c r="B218" s="9">
        <v>46594</v>
      </c>
      <c r="C218" s="9">
        <v>46600</v>
      </c>
      <c r="D218" s="27" t="s">
        <v>452</v>
      </c>
      <c r="E218" s="27">
        <v>5</v>
      </c>
      <c r="F218" s="8" t="s">
        <v>457</v>
      </c>
      <c r="G218" s="35" t="s">
        <v>14</v>
      </c>
      <c r="H218" s="36"/>
      <c r="I218" s="37"/>
      <c r="J218" s="1"/>
      <c r="K218" s="1"/>
      <c r="L218" s="1"/>
      <c r="M218" s="1"/>
    </row>
    <row r="219" spans="1:13" ht="40.5" customHeight="1">
      <c r="A219" s="7">
        <v>43</v>
      </c>
      <c r="B219" s="9">
        <v>46601</v>
      </c>
      <c r="C219" s="9">
        <v>46607</v>
      </c>
      <c r="D219" s="27" t="s">
        <v>452</v>
      </c>
      <c r="E219" s="27">
        <v>1</v>
      </c>
      <c r="F219" s="8" t="s">
        <v>453</v>
      </c>
      <c r="G219" s="35" t="s">
        <v>14</v>
      </c>
      <c r="H219" s="36"/>
      <c r="I219" s="37"/>
      <c r="J219" s="1"/>
      <c r="K219" s="1"/>
      <c r="L219" s="1"/>
      <c r="M219" s="1"/>
    </row>
    <row r="220" spans="1:13" ht="40.5" customHeight="1">
      <c r="A220" s="7">
        <v>43</v>
      </c>
      <c r="B220" s="9">
        <v>46601</v>
      </c>
      <c r="C220" s="9">
        <v>46607</v>
      </c>
      <c r="D220" s="27" t="s">
        <v>452</v>
      </c>
      <c r="E220" s="27">
        <v>2</v>
      </c>
      <c r="F220" s="8" t="s">
        <v>467</v>
      </c>
      <c r="G220" s="35" t="s">
        <v>14</v>
      </c>
      <c r="H220" s="36"/>
      <c r="I220" s="37"/>
      <c r="J220" s="1"/>
      <c r="K220" s="1"/>
      <c r="L220" s="1"/>
      <c r="M220" s="1"/>
    </row>
    <row r="221" spans="1:13" ht="40.5" customHeight="1">
      <c r="A221" s="7">
        <v>43</v>
      </c>
      <c r="B221" s="9">
        <v>46601</v>
      </c>
      <c r="C221" s="9">
        <v>46607</v>
      </c>
      <c r="D221" s="27" t="s">
        <v>452</v>
      </c>
      <c r="E221" s="27">
        <v>3</v>
      </c>
      <c r="F221" s="8" t="s">
        <v>455</v>
      </c>
      <c r="G221" s="35" t="s">
        <v>14</v>
      </c>
      <c r="H221" s="36"/>
      <c r="I221" s="37"/>
      <c r="J221" s="1"/>
      <c r="K221" s="1"/>
      <c r="L221" s="1"/>
      <c r="M221" s="1"/>
    </row>
    <row r="222" spans="1:13" ht="40.5" customHeight="1">
      <c r="A222" s="7">
        <v>43</v>
      </c>
      <c r="B222" s="9">
        <v>46601</v>
      </c>
      <c r="C222" s="9">
        <v>46607</v>
      </c>
      <c r="D222" s="27" t="s">
        <v>452</v>
      </c>
      <c r="E222" s="27">
        <v>4</v>
      </c>
      <c r="F222" s="8" t="s">
        <v>456</v>
      </c>
      <c r="G222" s="35" t="s">
        <v>14</v>
      </c>
      <c r="H222" s="36"/>
      <c r="I222" s="37"/>
      <c r="J222" s="1"/>
      <c r="K222" s="1"/>
      <c r="L222" s="1"/>
      <c r="M222" s="1"/>
    </row>
    <row r="223" spans="1:13" ht="40.5" customHeight="1">
      <c r="A223" s="7">
        <v>43</v>
      </c>
      <c r="B223" s="9">
        <v>46601</v>
      </c>
      <c r="C223" s="9">
        <v>46607</v>
      </c>
      <c r="D223" s="27" t="s">
        <v>452</v>
      </c>
      <c r="E223" s="27">
        <v>5</v>
      </c>
      <c r="F223" s="8" t="s">
        <v>457</v>
      </c>
      <c r="G223" s="35" t="s">
        <v>14</v>
      </c>
      <c r="H223" s="36"/>
      <c r="I223" s="37"/>
      <c r="J223" s="1"/>
      <c r="K223" s="1"/>
      <c r="L223" s="1"/>
      <c r="M223" s="1"/>
    </row>
    <row r="224" spans="1:13" ht="40.5" customHeight="1">
      <c r="A224" s="7">
        <v>44</v>
      </c>
      <c r="B224" s="9">
        <v>46608</v>
      </c>
      <c r="C224" s="9">
        <v>46614</v>
      </c>
      <c r="D224" s="27" t="s">
        <v>452</v>
      </c>
      <c r="E224" s="27">
        <v>1</v>
      </c>
      <c r="F224" s="8" t="s">
        <v>453</v>
      </c>
      <c r="G224" s="35" t="s">
        <v>14</v>
      </c>
      <c r="H224" s="36"/>
      <c r="I224" s="37"/>
      <c r="J224" s="1"/>
      <c r="K224" s="1"/>
      <c r="L224" s="1"/>
      <c r="M224" s="1"/>
    </row>
    <row r="225" spans="1:13" ht="40.5" customHeight="1">
      <c r="A225" s="7">
        <v>44</v>
      </c>
      <c r="B225" s="9">
        <v>46608</v>
      </c>
      <c r="C225" s="9">
        <v>46614</v>
      </c>
      <c r="D225" s="27" t="s">
        <v>452</v>
      </c>
      <c r="E225" s="27">
        <v>2</v>
      </c>
      <c r="F225" s="8" t="s">
        <v>468</v>
      </c>
      <c r="G225" s="35" t="s">
        <v>14</v>
      </c>
      <c r="H225" s="36"/>
      <c r="I225" s="37"/>
      <c r="J225" s="1"/>
      <c r="K225" s="1"/>
      <c r="L225" s="1"/>
      <c r="M225" s="1"/>
    </row>
    <row r="226" spans="1:13" ht="40.5" customHeight="1">
      <c r="A226" s="7">
        <v>44</v>
      </c>
      <c r="B226" s="9">
        <v>46608</v>
      </c>
      <c r="C226" s="9">
        <v>46614</v>
      </c>
      <c r="D226" s="27" t="s">
        <v>452</v>
      </c>
      <c r="E226" s="27">
        <v>3</v>
      </c>
      <c r="F226" s="8" t="s">
        <v>455</v>
      </c>
      <c r="G226" s="35" t="s">
        <v>14</v>
      </c>
      <c r="H226" s="36"/>
      <c r="I226" s="37"/>
      <c r="J226" s="1"/>
      <c r="K226" s="1"/>
      <c r="L226" s="1"/>
      <c r="M226" s="1"/>
    </row>
    <row r="227" spans="1:13" ht="40.5" customHeight="1">
      <c r="A227" s="7">
        <v>44</v>
      </c>
      <c r="B227" s="9">
        <v>46608</v>
      </c>
      <c r="C227" s="9">
        <v>46614</v>
      </c>
      <c r="D227" s="27" t="s">
        <v>452</v>
      </c>
      <c r="E227" s="27">
        <v>4</v>
      </c>
      <c r="F227" s="8" t="s">
        <v>456</v>
      </c>
      <c r="G227" s="35" t="s">
        <v>14</v>
      </c>
      <c r="H227" s="36"/>
      <c r="I227" s="37"/>
      <c r="J227" s="1"/>
      <c r="K227" s="1"/>
      <c r="L227" s="1"/>
      <c r="M227" s="1"/>
    </row>
    <row r="228" spans="1:13" ht="40.5" customHeight="1">
      <c r="A228" s="7">
        <v>44</v>
      </c>
      <c r="B228" s="9">
        <v>46608</v>
      </c>
      <c r="C228" s="9">
        <v>46614</v>
      </c>
      <c r="D228" s="27" t="s">
        <v>452</v>
      </c>
      <c r="E228" s="27">
        <v>5</v>
      </c>
      <c r="F228" s="8" t="s">
        <v>457</v>
      </c>
      <c r="G228" s="35" t="s">
        <v>14</v>
      </c>
      <c r="H228" s="36"/>
      <c r="I228" s="37"/>
      <c r="J228" s="1"/>
      <c r="K228" s="1"/>
      <c r="L228" s="1"/>
      <c r="M228" s="1"/>
    </row>
    <row r="229" spans="1:13" ht="40.5" customHeight="1">
      <c r="A229" s="7">
        <v>45</v>
      </c>
      <c r="B229" s="9">
        <v>46615</v>
      </c>
      <c r="C229" s="9">
        <v>46621</v>
      </c>
      <c r="D229" s="27" t="s">
        <v>469</v>
      </c>
      <c r="E229" s="27">
        <v>1</v>
      </c>
      <c r="F229" s="8" t="s">
        <v>470</v>
      </c>
      <c r="G229" s="35" t="s">
        <v>14</v>
      </c>
      <c r="H229" s="36"/>
      <c r="I229" s="37"/>
      <c r="J229" s="1"/>
      <c r="K229" s="1"/>
      <c r="L229" s="1"/>
      <c r="M229" s="1"/>
    </row>
    <row r="230" spans="1:13" ht="40.5" customHeight="1">
      <c r="A230" s="7">
        <v>45</v>
      </c>
      <c r="B230" s="9">
        <v>46615</v>
      </c>
      <c r="C230" s="9">
        <v>46621</v>
      </c>
      <c r="D230" s="27" t="s">
        <v>469</v>
      </c>
      <c r="E230" s="27">
        <v>2</v>
      </c>
      <c r="F230" s="8" t="s">
        <v>471</v>
      </c>
      <c r="G230" s="35" t="s">
        <v>14</v>
      </c>
      <c r="H230" s="36"/>
      <c r="I230" s="37"/>
      <c r="J230" s="1"/>
      <c r="K230" s="1"/>
      <c r="L230" s="1"/>
      <c r="M230" s="1"/>
    </row>
    <row r="231" spans="1:13" ht="40.5" customHeight="1">
      <c r="A231" s="7">
        <v>45</v>
      </c>
      <c r="B231" s="9">
        <v>46615</v>
      </c>
      <c r="C231" s="9">
        <v>46621</v>
      </c>
      <c r="D231" s="27" t="s">
        <v>469</v>
      </c>
      <c r="E231" s="27">
        <v>3</v>
      </c>
      <c r="F231" s="8" t="s">
        <v>472</v>
      </c>
      <c r="G231" s="35" t="s">
        <v>14</v>
      </c>
      <c r="H231" s="36"/>
      <c r="I231" s="37"/>
      <c r="J231" s="1"/>
      <c r="K231" s="1"/>
      <c r="L231" s="1"/>
      <c r="M231" s="1"/>
    </row>
    <row r="232" spans="1:13" ht="40.5" customHeight="1">
      <c r="A232" s="7">
        <v>45</v>
      </c>
      <c r="B232" s="9">
        <v>46615</v>
      </c>
      <c r="C232" s="9">
        <v>46621</v>
      </c>
      <c r="D232" s="27" t="s">
        <v>469</v>
      </c>
      <c r="E232" s="27">
        <v>4</v>
      </c>
      <c r="F232" s="8" t="s">
        <v>473</v>
      </c>
      <c r="G232" s="35" t="s">
        <v>14</v>
      </c>
      <c r="H232" s="36"/>
      <c r="I232" s="37"/>
      <c r="J232" s="1"/>
      <c r="K232" s="1"/>
      <c r="L232" s="1"/>
      <c r="M232" s="1"/>
    </row>
    <row r="233" spans="1:13" ht="40.5" customHeight="1">
      <c r="A233" s="7">
        <v>45</v>
      </c>
      <c r="B233" s="9">
        <v>46615</v>
      </c>
      <c r="C233" s="9">
        <v>46621</v>
      </c>
      <c r="D233" s="27" t="s">
        <v>469</v>
      </c>
      <c r="E233" s="27">
        <v>5</v>
      </c>
      <c r="F233" s="8" t="s">
        <v>474</v>
      </c>
      <c r="G233" s="35" t="s">
        <v>14</v>
      </c>
      <c r="H233" s="36"/>
      <c r="I233" s="37"/>
      <c r="J233" s="1"/>
      <c r="K233" s="1"/>
      <c r="L233" s="1"/>
      <c r="M233" s="1"/>
    </row>
    <row r="234" spans="1:13" ht="40.5" customHeight="1">
      <c r="A234" s="7">
        <v>46</v>
      </c>
      <c r="B234" s="9">
        <v>46622</v>
      </c>
      <c r="C234" s="9">
        <v>46628</v>
      </c>
      <c r="D234" s="27" t="s">
        <v>469</v>
      </c>
      <c r="E234" s="27">
        <v>1</v>
      </c>
      <c r="F234" s="8" t="s">
        <v>470</v>
      </c>
      <c r="G234" s="35" t="s">
        <v>14</v>
      </c>
      <c r="H234" s="36"/>
      <c r="I234" s="37"/>
      <c r="J234" s="1"/>
      <c r="K234" s="1"/>
      <c r="L234" s="1"/>
      <c r="M234" s="1"/>
    </row>
    <row r="235" spans="1:13" ht="40.5" customHeight="1">
      <c r="A235" s="7">
        <v>46</v>
      </c>
      <c r="B235" s="9">
        <v>46622</v>
      </c>
      <c r="C235" s="9">
        <v>46628</v>
      </c>
      <c r="D235" s="27" t="s">
        <v>469</v>
      </c>
      <c r="E235" s="27">
        <v>2</v>
      </c>
      <c r="F235" s="8" t="s">
        <v>471</v>
      </c>
      <c r="G235" s="35" t="s">
        <v>14</v>
      </c>
      <c r="H235" s="36"/>
      <c r="I235" s="37"/>
      <c r="J235" s="1"/>
      <c r="K235" s="1"/>
      <c r="L235" s="1"/>
      <c r="M235" s="1"/>
    </row>
    <row r="236" spans="1:13" ht="40.5" customHeight="1">
      <c r="A236" s="7">
        <v>46</v>
      </c>
      <c r="B236" s="9">
        <v>46622</v>
      </c>
      <c r="C236" s="9">
        <v>46628</v>
      </c>
      <c r="D236" s="27" t="s">
        <v>469</v>
      </c>
      <c r="E236" s="27">
        <v>3</v>
      </c>
      <c r="F236" s="8" t="s">
        <v>472</v>
      </c>
      <c r="G236" s="35" t="s">
        <v>14</v>
      </c>
      <c r="H236" s="36"/>
      <c r="I236" s="37"/>
      <c r="J236" s="1"/>
      <c r="K236" s="1"/>
      <c r="L236" s="1"/>
      <c r="M236" s="1"/>
    </row>
    <row r="237" spans="1:13" ht="40.5" customHeight="1">
      <c r="A237" s="7">
        <v>46</v>
      </c>
      <c r="B237" s="9">
        <v>46622</v>
      </c>
      <c r="C237" s="9">
        <v>46628</v>
      </c>
      <c r="D237" s="27" t="s">
        <v>469</v>
      </c>
      <c r="E237" s="27">
        <v>4</v>
      </c>
      <c r="F237" s="8" t="s">
        <v>473</v>
      </c>
      <c r="G237" s="35" t="s">
        <v>14</v>
      </c>
      <c r="H237" s="36"/>
      <c r="I237" s="37"/>
      <c r="J237" s="1"/>
      <c r="K237" s="1"/>
      <c r="L237" s="1"/>
      <c r="M237" s="1"/>
    </row>
    <row r="238" spans="1:13" ht="40.5" customHeight="1">
      <c r="A238" s="7">
        <v>46</v>
      </c>
      <c r="B238" s="9">
        <v>46622</v>
      </c>
      <c r="C238" s="9">
        <v>46628</v>
      </c>
      <c r="D238" s="27" t="s">
        <v>469</v>
      </c>
      <c r="E238" s="27">
        <v>5</v>
      </c>
      <c r="F238" s="8" t="s">
        <v>475</v>
      </c>
      <c r="G238" s="35" t="s">
        <v>14</v>
      </c>
      <c r="H238" s="36"/>
      <c r="I238" s="37"/>
      <c r="J238" s="1"/>
      <c r="K238" s="1"/>
      <c r="L238" s="1"/>
      <c r="M238" s="1"/>
    </row>
    <row r="239" spans="1:13" ht="40.5" customHeight="1">
      <c r="A239" s="7">
        <v>47</v>
      </c>
      <c r="B239" s="9">
        <v>46629</v>
      </c>
      <c r="C239" s="9">
        <v>46635</v>
      </c>
      <c r="D239" s="27" t="s">
        <v>469</v>
      </c>
      <c r="E239" s="27">
        <v>1</v>
      </c>
      <c r="F239" s="8" t="s">
        <v>470</v>
      </c>
      <c r="G239" s="35" t="s">
        <v>14</v>
      </c>
      <c r="H239" s="36"/>
      <c r="I239" s="37"/>
      <c r="J239" s="1"/>
      <c r="K239" s="1"/>
      <c r="L239" s="1"/>
      <c r="M239" s="1"/>
    </row>
    <row r="240" spans="1:13" ht="40.5" customHeight="1">
      <c r="A240" s="7">
        <v>47</v>
      </c>
      <c r="B240" s="9">
        <v>46629</v>
      </c>
      <c r="C240" s="9">
        <v>46635</v>
      </c>
      <c r="D240" s="27" t="s">
        <v>469</v>
      </c>
      <c r="E240" s="27">
        <v>2</v>
      </c>
      <c r="F240" s="8" t="s">
        <v>471</v>
      </c>
      <c r="G240" s="35" t="s">
        <v>14</v>
      </c>
      <c r="H240" s="36"/>
      <c r="I240" s="37"/>
      <c r="J240" s="1"/>
      <c r="K240" s="1"/>
      <c r="L240" s="1"/>
      <c r="M240" s="1"/>
    </row>
    <row r="241" spans="1:13" ht="40.5" customHeight="1">
      <c r="A241" s="7">
        <v>47</v>
      </c>
      <c r="B241" s="9">
        <v>46629</v>
      </c>
      <c r="C241" s="9">
        <v>46635</v>
      </c>
      <c r="D241" s="27" t="s">
        <v>469</v>
      </c>
      <c r="E241" s="27">
        <v>3</v>
      </c>
      <c r="F241" s="8" t="s">
        <v>472</v>
      </c>
      <c r="G241" s="35" t="s">
        <v>14</v>
      </c>
      <c r="H241" s="36"/>
      <c r="I241" s="37"/>
      <c r="J241" s="1"/>
      <c r="K241" s="1"/>
      <c r="L241" s="1"/>
      <c r="M241" s="1"/>
    </row>
    <row r="242" spans="1:13" ht="40.5" customHeight="1">
      <c r="A242" s="7">
        <v>47</v>
      </c>
      <c r="B242" s="9">
        <v>46629</v>
      </c>
      <c r="C242" s="9">
        <v>46635</v>
      </c>
      <c r="D242" s="27" t="s">
        <v>469</v>
      </c>
      <c r="E242" s="27">
        <v>4</v>
      </c>
      <c r="F242" s="8" t="s">
        <v>473</v>
      </c>
      <c r="G242" s="35" t="s">
        <v>14</v>
      </c>
      <c r="H242" s="36"/>
      <c r="I242" s="37"/>
      <c r="J242" s="1"/>
      <c r="K242" s="1"/>
      <c r="L242" s="1"/>
      <c r="M242" s="1"/>
    </row>
    <row r="243" spans="1:13" ht="40.5" customHeight="1">
      <c r="A243" s="7">
        <v>47</v>
      </c>
      <c r="B243" s="9">
        <v>46629</v>
      </c>
      <c r="C243" s="9">
        <v>46635</v>
      </c>
      <c r="D243" s="27" t="s">
        <v>469</v>
      </c>
      <c r="E243" s="27">
        <v>5</v>
      </c>
      <c r="F243" s="8" t="s">
        <v>474</v>
      </c>
      <c r="G243" s="35" t="s">
        <v>14</v>
      </c>
      <c r="H243" s="36"/>
      <c r="I243" s="37"/>
      <c r="J243" s="1"/>
      <c r="K243" s="1"/>
      <c r="L243" s="1"/>
      <c r="M243" s="1"/>
    </row>
    <row r="244" spans="1:13" ht="40.5" customHeight="1">
      <c r="A244" s="7">
        <v>48</v>
      </c>
      <c r="B244" s="9">
        <v>46636</v>
      </c>
      <c r="C244" s="9">
        <v>46642</v>
      </c>
      <c r="D244" s="27" t="s">
        <v>469</v>
      </c>
      <c r="E244" s="27">
        <v>1</v>
      </c>
      <c r="F244" s="8" t="s">
        <v>470</v>
      </c>
      <c r="G244" s="35" t="s">
        <v>14</v>
      </c>
      <c r="H244" s="36"/>
      <c r="I244" s="37"/>
      <c r="J244" s="1"/>
      <c r="K244" s="1"/>
      <c r="L244" s="1"/>
      <c r="M244" s="1"/>
    </row>
    <row r="245" spans="1:13" ht="40.5" customHeight="1">
      <c r="A245" s="7">
        <v>48</v>
      </c>
      <c r="B245" s="9">
        <v>46636</v>
      </c>
      <c r="C245" s="9">
        <v>46642</v>
      </c>
      <c r="D245" s="27" t="s">
        <v>469</v>
      </c>
      <c r="E245" s="27">
        <v>2</v>
      </c>
      <c r="F245" s="8" t="s">
        <v>471</v>
      </c>
      <c r="G245" s="35" t="s">
        <v>14</v>
      </c>
      <c r="H245" s="36"/>
      <c r="I245" s="37"/>
      <c r="J245" s="1"/>
      <c r="K245" s="1"/>
      <c r="L245" s="1"/>
      <c r="M245" s="1"/>
    </row>
    <row r="246" spans="1:13" ht="40.5" customHeight="1">
      <c r="A246" s="7">
        <v>48</v>
      </c>
      <c r="B246" s="9">
        <v>46636</v>
      </c>
      <c r="C246" s="9">
        <v>46642</v>
      </c>
      <c r="D246" s="27" t="s">
        <v>469</v>
      </c>
      <c r="E246" s="27">
        <v>3</v>
      </c>
      <c r="F246" s="8" t="s">
        <v>472</v>
      </c>
      <c r="G246" s="35" t="s">
        <v>14</v>
      </c>
      <c r="H246" s="36"/>
      <c r="I246" s="37"/>
      <c r="J246" s="1"/>
      <c r="K246" s="1"/>
      <c r="L246" s="1"/>
      <c r="M246" s="1"/>
    </row>
    <row r="247" spans="1:13" ht="40.5" customHeight="1">
      <c r="A247" s="7">
        <v>48</v>
      </c>
      <c r="B247" s="9">
        <v>46636</v>
      </c>
      <c r="C247" s="9">
        <v>46642</v>
      </c>
      <c r="D247" s="27" t="s">
        <v>469</v>
      </c>
      <c r="E247" s="27">
        <v>4</v>
      </c>
      <c r="F247" s="8" t="s">
        <v>473</v>
      </c>
      <c r="G247" s="35" t="s">
        <v>14</v>
      </c>
      <c r="H247" s="36"/>
      <c r="I247" s="37"/>
      <c r="J247" s="1"/>
      <c r="K247" s="1"/>
      <c r="L247" s="1"/>
      <c r="M247" s="1"/>
    </row>
    <row r="248" spans="1:13" ht="40.5" customHeight="1">
      <c r="A248" s="7">
        <v>48</v>
      </c>
      <c r="B248" s="9">
        <v>46636</v>
      </c>
      <c r="C248" s="9">
        <v>46642</v>
      </c>
      <c r="D248" s="27" t="s">
        <v>469</v>
      </c>
      <c r="E248" s="27">
        <v>5</v>
      </c>
      <c r="F248" s="8" t="s">
        <v>475</v>
      </c>
      <c r="G248" s="35" t="s">
        <v>14</v>
      </c>
      <c r="H248" s="36"/>
      <c r="I248" s="37"/>
      <c r="J248" s="1"/>
      <c r="K248" s="1"/>
      <c r="L248" s="1"/>
      <c r="M248" s="1"/>
    </row>
    <row r="249" spans="1:13" ht="40.5" customHeight="1">
      <c r="A249" s="7">
        <v>49</v>
      </c>
      <c r="B249" s="9">
        <v>46643</v>
      </c>
      <c r="C249" s="9">
        <v>46649</v>
      </c>
      <c r="D249" s="27" t="s">
        <v>469</v>
      </c>
      <c r="E249" s="27">
        <v>1</v>
      </c>
      <c r="F249" s="8" t="s">
        <v>470</v>
      </c>
      <c r="G249" s="35" t="s">
        <v>14</v>
      </c>
      <c r="H249" s="36"/>
      <c r="I249" s="37"/>
      <c r="J249" s="1"/>
      <c r="K249" s="1"/>
      <c r="L249" s="1"/>
      <c r="M249" s="1"/>
    </row>
    <row r="250" spans="1:13" ht="40.5" customHeight="1">
      <c r="A250" s="7">
        <v>49</v>
      </c>
      <c r="B250" s="9">
        <v>46643</v>
      </c>
      <c r="C250" s="9">
        <v>46649</v>
      </c>
      <c r="D250" s="27" t="s">
        <v>469</v>
      </c>
      <c r="E250" s="27">
        <v>2</v>
      </c>
      <c r="F250" s="8" t="s">
        <v>471</v>
      </c>
      <c r="G250" s="35" t="s">
        <v>14</v>
      </c>
      <c r="H250" s="36"/>
      <c r="I250" s="37"/>
      <c r="J250" s="1"/>
      <c r="K250" s="1"/>
      <c r="L250" s="1"/>
      <c r="M250" s="1"/>
    </row>
    <row r="251" spans="1:13" ht="40.5" customHeight="1">
      <c r="A251" s="7">
        <v>49</v>
      </c>
      <c r="B251" s="9">
        <v>46643</v>
      </c>
      <c r="C251" s="9">
        <v>46649</v>
      </c>
      <c r="D251" s="27" t="s">
        <v>469</v>
      </c>
      <c r="E251" s="27">
        <v>3</v>
      </c>
      <c r="F251" s="8" t="s">
        <v>472</v>
      </c>
      <c r="G251" s="35" t="s">
        <v>14</v>
      </c>
      <c r="H251" s="36"/>
      <c r="I251" s="37"/>
      <c r="J251" s="1"/>
      <c r="K251" s="1"/>
      <c r="L251" s="1"/>
      <c r="M251" s="1"/>
    </row>
    <row r="252" spans="1:13" ht="40.5" customHeight="1">
      <c r="A252" s="7">
        <v>49</v>
      </c>
      <c r="B252" s="9">
        <v>46643</v>
      </c>
      <c r="C252" s="9">
        <v>46649</v>
      </c>
      <c r="D252" s="27" t="s">
        <v>469</v>
      </c>
      <c r="E252" s="27">
        <v>4</v>
      </c>
      <c r="F252" s="8" t="s">
        <v>473</v>
      </c>
      <c r="G252" s="35" t="s">
        <v>14</v>
      </c>
      <c r="H252" s="36"/>
      <c r="I252" s="37"/>
      <c r="J252" s="1"/>
      <c r="K252" s="1"/>
      <c r="L252" s="1"/>
      <c r="M252" s="1"/>
    </row>
    <row r="253" spans="1:13" ht="40.5" customHeight="1">
      <c r="A253" s="7">
        <v>49</v>
      </c>
      <c r="B253" s="9">
        <v>46643</v>
      </c>
      <c r="C253" s="9">
        <v>46649</v>
      </c>
      <c r="D253" s="27" t="s">
        <v>469</v>
      </c>
      <c r="E253" s="27">
        <v>5</v>
      </c>
      <c r="F253" s="8" t="s">
        <v>474</v>
      </c>
      <c r="G253" s="35" t="s">
        <v>14</v>
      </c>
      <c r="H253" s="36"/>
      <c r="I253" s="37"/>
      <c r="J253" s="1"/>
      <c r="K253" s="1"/>
      <c r="L253" s="1"/>
      <c r="M253" s="1"/>
    </row>
    <row r="254" spans="1:13" ht="40.5" customHeight="1">
      <c r="A254" s="7">
        <v>50</v>
      </c>
      <c r="B254" s="9">
        <v>46650</v>
      </c>
      <c r="C254" s="9">
        <v>46656</v>
      </c>
      <c r="D254" s="27" t="s">
        <v>469</v>
      </c>
      <c r="E254" s="27">
        <v>1</v>
      </c>
      <c r="F254" s="8" t="s">
        <v>470</v>
      </c>
      <c r="G254" s="35" t="s">
        <v>14</v>
      </c>
      <c r="H254" s="36"/>
      <c r="I254" s="37"/>
      <c r="J254" s="1"/>
      <c r="K254" s="1"/>
      <c r="L254" s="1"/>
      <c r="M254" s="1"/>
    </row>
    <row r="255" spans="1:13" ht="40.5" customHeight="1">
      <c r="A255" s="7">
        <v>50</v>
      </c>
      <c r="B255" s="9">
        <v>46650</v>
      </c>
      <c r="C255" s="9">
        <v>46656</v>
      </c>
      <c r="D255" s="27" t="s">
        <v>469</v>
      </c>
      <c r="E255" s="27">
        <v>2</v>
      </c>
      <c r="F255" s="8" t="s">
        <v>471</v>
      </c>
      <c r="G255" s="35" t="s">
        <v>14</v>
      </c>
      <c r="H255" s="36"/>
      <c r="I255" s="37"/>
      <c r="J255" s="1"/>
      <c r="K255" s="1"/>
      <c r="L255" s="1"/>
      <c r="M255" s="1"/>
    </row>
    <row r="256" spans="1:13" ht="40.5" customHeight="1">
      <c r="A256" s="7">
        <v>50</v>
      </c>
      <c r="B256" s="9">
        <v>46650</v>
      </c>
      <c r="C256" s="9">
        <v>46656</v>
      </c>
      <c r="D256" s="27" t="s">
        <v>469</v>
      </c>
      <c r="E256" s="27">
        <v>3</v>
      </c>
      <c r="F256" s="8" t="s">
        <v>472</v>
      </c>
      <c r="G256" s="35" t="s">
        <v>14</v>
      </c>
      <c r="H256" s="36"/>
      <c r="I256" s="37"/>
      <c r="J256" s="1"/>
      <c r="K256" s="1"/>
      <c r="L256" s="1"/>
      <c r="M256" s="1"/>
    </row>
    <row r="257" spans="1:13" ht="40.5" customHeight="1">
      <c r="A257" s="7">
        <v>50</v>
      </c>
      <c r="B257" s="9">
        <v>46650</v>
      </c>
      <c r="C257" s="9">
        <v>46656</v>
      </c>
      <c r="D257" s="27" t="s">
        <v>469</v>
      </c>
      <c r="E257" s="27">
        <v>4</v>
      </c>
      <c r="F257" s="8" t="s">
        <v>473</v>
      </c>
      <c r="G257" s="35" t="s">
        <v>14</v>
      </c>
      <c r="H257" s="36"/>
      <c r="I257" s="37"/>
      <c r="J257" s="1"/>
      <c r="K257" s="1"/>
      <c r="L257" s="1"/>
      <c r="M257" s="1"/>
    </row>
    <row r="258" spans="1:13" ht="40.5" customHeight="1">
      <c r="A258" s="7">
        <v>50</v>
      </c>
      <c r="B258" s="9">
        <v>46650</v>
      </c>
      <c r="C258" s="9">
        <v>46656</v>
      </c>
      <c r="D258" s="27" t="s">
        <v>469</v>
      </c>
      <c r="E258" s="27">
        <v>5</v>
      </c>
      <c r="F258" s="8" t="s">
        <v>475</v>
      </c>
      <c r="G258" s="35" t="s">
        <v>14</v>
      </c>
      <c r="H258" s="36"/>
      <c r="I258" s="37"/>
      <c r="J258" s="1"/>
      <c r="K258" s="1"/>
      <c r="L258" s="1"/>
      <c r="M258" s="1"/>
    </row>
    <row r="259" spans="1:13" ht="40.5" customHeight="1">
      <c r="A259" s="7">
        <v>51</v>
      </c>
      <c r="B259" s="9">
        <v>46657</v>
      </c>
      <c r="C259" s="9">
        <v>46663</v>
      </c>
      <c r="D259" s="27" t="s">
        <v>469</v>
      </c>
      <c r="E259" s="27">
        <v>1</v>
      </c>
      <c r="F259" s="8" t="s">
        <v>470</v>
      </c>
      <c r="G259" s="35" t="s">
        <v>14</v>
      </c>
      <c r="H259" s="36"/>
      <c r="I259" s="37"/>
      <c r="J259" s="1"/>
      <c r="K259" s="1"/>
      <c r="L259" s="1"/>
      <c r="M259" s="1"/>
    </row>
    <row r="260" spans="1:13" ht="40.5" customHeight="1">
      <c r="A260" s="7">
        <v>51</v>
      </c>
      <c r="B260" s="9">
        <v>46657</v>
      </c>
      <c r="C260" s="9">
        <v>46663</v>
      </c>
      <c r="D260" s="27" t="s">
        <v>469</v>
      </c>
      <c r="E260" s="27">
        <v>2</v>
      </c>
      <c r="F260" s="8" t="s">
        <v>471</v>
      </c>
      <c r="G260" s="35" t="s">
        <v>14</v>
      </c>
      <c r="H260" s="36"/>
      <c r="I260" s="37"/>
      <c r="J260" s="1"/>
      <c r="K260" s="1"/>
      <c r="L260" s="1"/>
      <c r="M260" s="1"/>
    </row>
    <row r="261" spans="1:13" ht="40.5" customHeight="1">
      <c r="A261" s="7">
        <v>51</v>
      </c>
      <c r="B261" s="9">
        <v>46657</v>
      </c>
      <c r="C261" s="9">
        <v>46663</v>
      </c>
      <c r="D261" s="27" t="s">
        <v>469</v>
      </c>
      <c r="E261" s="27">
        <v>3</v>
      </c>
      <c r="F261" s="8" t="s">
        <v>472</v>
      </c>
      <c r="G261" s="35" t="s">
        <v>14</v>
      </c>
      <c r="H261" s="36"/>
      <c r="I261" s="37"/>
      <c r="J261" s="1"/>
      <c r="K261" s="1"/>
      <c r="L261" s="1"/>
      <c r="M261" s="1"/>
    </row>
    <row r="262" spans="1:13" ht="40.5" customHeight="1">
      <c r="A262" s="7">
        <v>51</v>
      </c>
      <c r="B262" s="9">
        <v>46657</v>
      </c>
      <c r="C262" s="9">
        <v>46663</v>
      </c>
      <c r="D262" s="27" t="s">
        <v>469</v>
      </c>
      <c r="E262" s="27">
        <v>4</v>
      </c>
      <c r="F262" s="8" t="s">
        <v>473</v>
      </c>
      <c r="G262" s="35" t="s">
        <v>14</v>
      </c>
      <c r="H262" s="36"/>
      <c r="I262" s="37"/>
      <c r="J262" s="1"/>
      <c r="K262" s="1"/>
      <c r="L262" s="1"/>
      <c r="M262" s="1"/>
    </row>
    <row r="263" spans="1:13" ht="40.5" customHeight="1">
      <c r="A263" s="7">
        <v>51</v>
      </c>
      <c r="B263" s="9">
        <v>46657</v>
      </c>
      <c r="C263" s="9">
        <v>46663</v>
      </c>
      <c r="D263" s="27" t="s">
        <v>469</v>
      </c>
      <c r="E263" s="27">
        <v>5</v>
      </c>
      <c r="F263" s="8" t="s">
        <v>474</v>
      </c>
      <c r="G263" s="35" t="s">
        <v>14</v>
      </c>
      <c r="H263" s="36"/>
      <c r="I263" s="37"/>
      <c r="J263" s="1"/>
      <c r="K263" s="1"/>
      <c r="L263" s="1"/>
      <c r="M263" s="1"/>
    </row>
    <row r="264" spans="1:13" ht="40.5" customHeight="1">
      <c r="A264" s="7">
        <v>52</v>
      </c>
      <c r="B264" s="9">
        <v>46664</v>
      </c>
      <c r="C264" s="9">
        <v>46670</v>
      </c>
      <c r="D264" s="27" t="s">
        <v>469</v>
      </c>
      <c r="E264" s="27">
        <v>1</v>
      </c>
      <c r="F264" s="8" t="s">
        <v>470</v>
      </c>
      <c r="G264" s="35" t="s">
        <v>14</v>
      </c>
      <c r="H264" s="36"/>
      <c r="I264" s="37"/>
      <c r="J264" s="1"/>
      <c r="K264" s="1"/>
      <c r="L264" s="1"/>
      <c r="M264" s="1"/>
    </row>
    <row r="265" spans="1:13" ht="40.5" customHeight="1">
      <c r="A265" s="7">
        <v>52</v>
      </c>
      <c r="B265" s="9">
        <v>46664</v>
      </c>
      <c r="C265" s="9">
        <v>46670</v>
      </c>
      <c r="D265" s="27" t="s">
        <v>469</v>
      </c>
      <c r="E265" s="27">
        <v>2</v>
      </c>
      <c r="F265" s="8" t="s">
        <v>471</v>
      </c>
      <c r="G265" s="35" t="s">
        <v>14</v>
      </c>
      <c r="H265" s="36"/>
      <c r="I265" s="37"/>
      <c r="J265" s="1"/>
      <c r="K265" s="1"/>
      <c r="L265" s="1"/>
      <c r="M265" s="1"/>
    </row>
    <row r="266" spans="1:13" ht="40.5" customHeight="1">
      <c r="A266" s="7">
        <v>52</v>
      </c>
      <c r="B266" s="9">
        <v>46664</v>
      </c>
      <c r="C266" s="9">
        <v>46670</v>
      </c>
      <c r="D266" s="27" t="s">
        <v>469</v>
      </c>
      <c r="E266" s="27">
        <v>3</v>
      </c>
      <c r="F266" s="8" t="s">
        <v>472</v>
      </c>
      <c r="G266" s="35" t="s">
        <v>14</v>
      </c>
      <c r="H266" s="36"/>
      <c r="I266" s="37"/>
      <c r="J266" s="1"/>
      <c r="K266" s="1"/>
      <c r="L266" s="1"/>
      <c r="M266" s="1"/>
    </row>
    <row r="267" spans="1:13" ht="40.5" customHeight="1">
      <c r="A267" s="7">
        <v>52</v>
      </c>
      <c r="B267" s="9">
        <v>46664</v>
      </c>
      <c r="C267" s="9">
        <v>46670</v>
      </c>
      <c r="D267" s="27" t="s">
        <v>469</v>
      </c>
      <c r="E267" s="27">
        <v>4</v>
      </c>
      <c r="F267" s="8" t="s">
        <v>473</v>
      </c>
      <c r="G267" s="35" t="s">
        <v>14</v>
      </c>
      <c r="H267" s="36"/>
      <c r="I267" s="37"/>
      <c r="J267" s="1"/>
      <c r="K267" s="1"/>
      <c r="L267" s="1"/>
      <c r="M267" s="1"/>
    </row>
    <row r="268" spans="1:13" ht="40.5" customHeight="1">
      <c r="A268" s="7">
        <v>52</v>
      </c>
      <c r="B268" s="9">
        <v>46664</v>
      </c>
      <c r="C268" s="9">
        <v>46670</v>
      </c>
      <c r="D268" s="27" t="s">
        <v>469</v>
      </c>
      <c r="E268" s="27">
        <v>5</v>
      </c>
      <c r="F268" s="8" t="s">
        <v>475</v>
      </c>
      <c r="G268" s="35" t="s">
        <v>14</v>
      </c>
      <c r="H268" s="36"/>
      <c r="I268" s="37"/>
      <c r="J268" s="1"/>
      <c r="K268" s="1"/>
      <c r="L268" s="1"/>
      <c r="M268" s="1"/>
    </row>
    <row r="269" spans="1:13" ht="40.5" customHeight="1">
      <c r="A269" s="7">
        <v>53</v>
      </c>
      <c r="B269" s="9">
        <v>46671</v>
      </c>
      <c r="C269" s="9">
        <v>46677</v>
      </c>
      <c r="D269" s="27" t="s">
        <v>469</v>
      </c>
      <c r="E269" s="27">
        <v>1</v>
      </c>
      <c r="F269" s="8" t="s">
        <v>470</v>
      </c>
      <c r="G269" s="35" t="s">
        <v>14</v>
      </c>
      <c r="H269" s="36"/>
      <c r="I269" s="37"/>
      <c r="J269" s="1"/>
      <c r="K269" s="1"/>
      <c r="L269" s="1"/>
      <c r="M269" s="1"/>
    </row>
    <row r="270" spans="1:13" ht="40.5" customHeight="1">
      <c r="A270" s="7">
        <v>53</v>
      </c>
      <c r="B270" s="9">
        <v>46671</v>
      </c>
      <c r="C270" s="9">
        <v>46677</v>
      </c>
      <c r="D270" s="27" t="s">
        <v>469</v>
      </c>
      <c r="E270" s="27">
        <v>2</v>
      </c>
      <c r="F270" s="8" t="s">
        <v>471</v>
      </c>
      <c r="G270" s="35" t="s">
        <v>14</v>
      </c>
      <c r="H270" s="36"/>
      <c r="I270" s="37"/>
      <c r="J270" s="1"/>
      <c r="K270" s="1"/>
      <c r="L270" s="1"/>
      <c r="M270" s="1"/>
    </row>
    <row r="271" spans="1:13" ht="40.5" customHeight="1">
      <c r="A271" s="7">
        <v>53</v>
      </c>
      <c r="B271" s="9">
        <v>46671</v>
      </c>
      <c r="C271" s="9">
        <v>46677</v>
      </c>
      <c r="D271" s="27" t="s">
        <v>469</v>
      </c>
      <c r="E271" s="27">
        <v>3</v>
      </c>
      <c r="F271" s="8" t="s">
        <v>472</v>
      </c>
      <c r="G271" s="35" t="s">
        <v>14</v>
      </c>
      <c r="H271" s="36"/>
      <c r="I271" s="37"/>
      <c r="J271" s="1"/>
      <c r="K271" s="1"/>
      <c r="L271" s="1"/>
      <c r="M271" s="1"/>
    </row>
    <row r="272" spans="1:13" ht="40.5" customHeight="1">
      <c r="A272" s="7">
        <v>53</v>
      </c>
      <c r="B272" s="9">
        <v>46671</v>
      </c>
      <c r="C272" s="9">
        <v>46677</v>
      </c>
      <c r="D272" s="27" t="s">
        <v>469</v>
      </c>
      <c r="E272" s="27">
        <v>4</v>
      </c>
      <c r="F272" s="8" t="s">
        <v>473</v>
      </c>
      <c r="G272" s="35" t="s">
        <v>14</v>
      </c>
      <c r="H272" s="36"/>
      <c r="I272" s="37"/>
      <c r="J272" s="1"/>
      <c r="K272" s="1"/>
      <c r="L272" s="1"/>
      <c r="M272" s="1"/>
    </row>
    <row r="273" spans="1:13" ht="40.5" customHeight="1">
      <c r="A273" s="7">
        <v>53</v>
      </c>
      <c r="B273" s="9">
        <v>46671</v>
      </c>
      <c r="C273" s="9">
        <v>46677</v>
      </c>
      <c r="D273" s="27" t="s">
        <v>469</v>
      </c>
      <c r="E273" s="27">
        <v>5</v>
      </c>
      <c r="F273" s="8" t="s">
        <v>474</v>
      </c>
      <c r="G273" s="35" t="s">
        <v>14</v>
      </c>
      <c r="H273" s="36"/>
      <c r="I273" s="37"/>
      <c r="J273" s="1"/>
      <c r="K273" s="1"/>
      <c r="L273" s="1"/>
      <c r="M273" s="1"/>
    </row>
    <row r="274" spans="1:13" ht="40.5" customHeight="1">
      <c r="A274" s="7">
        <v>54</v>
      </c>
      <c r="B274" s="9">
        <v>46678</v>
      </c>
      <c r="C274" s="9">
        <v>46684</v>
      </c>
      <c r="D274" s="27" t="s">
        <v>469</v>
      </c>
      <c r="E274" s="27">
        <v>1</v>
      </c>
      <c r="F274" s="8" t="s">
        <v>470</v>
      </c>
      <c r="G274" s="35" t="s">
        <v>14</v>
      </c>
      <c r="H274" s="36"/>
      <c r="I274" s="37"/>
      <c r="J274" s="1"/>
      <c r="K274" s="1"/>
      <c r="L274" s="1"/>
      <c r="M274" s="1"/>
    </row>
    <row r="275" spans="1:13" ht="40.5" customHeight="1">
      <c r="A275" s="7">
        <v>54</v>
      </c>
      <c r="B275" s="9">
        <v>46678</v>
      </c>
      <c r="C275" s="9">
        <v>46684</v>
      </c>
      <c r="D275" s="27" t="s">
        <v>469</v>
      </c>
      <c r="E275" s="27">
        <v>2</v>
      </c>
      <c r="F275" s="8" t="s">
        <v>471</v>
      </c>
      <c r="G275" s="35" t="s">
        <v>14</v>
      </c>
      <c r="H275" s="36"/>
      <c r="I275" s="37"/>
      <c r="J275" s="1"/>
      <c r="K275" s="1"/>
      <c r="L275" s="1"/>
      <c r="M275" s="1"/>
    </row>
    <row r="276" spans="1:13" ht="40.5" customHeight="1">
      <c r="A276" s="7">
        <v>54</v>
      </c>
      <c r="B276" s="9">
        <v>46678</v>
      </c>
      <c r="C276" s="9">
        <v>46684</v>
      </c>
      <c r="D276" s="27" t="s">
        <v>469</v>
      </c>
      <c r="E276" s="27">
        <v>3</v>
      </c>
      <c r="F276" s="8" t="s">
        <v>472</v>
      </c>
      <c r="G276" s="35" t="s">
        <v>14</v>
      </c>
      <c r="H276" s="36"/>
      <c r="I276" s="37"/>
      <c r="J276" s="1"/>
      <c r="K276" s="1"/>
      <c r="L276" s="1"/>
      <c r="M276" s="1"/>
    </row>
    <row r="277" spans="1:13" ht="40.5" customHeight="1">
      <c r="A277" s="7">
        <v>54</v>
      </c>
      <c r="B277" s="9">
        <v>46678</v>
      </c>
      <c r="C277" s="9">
        <v>46684</v>
      </c>
      <c r="D277" s="27" t="s">
        <v>469</v>
      </c>
      <c r="E277" s="27">
        <v>4</v>
      </c>
      <c r="F277" s="8" t="s">
        <v>473</v>
      </c>
      <c r="G277" s="35" t="s">
        <v>14</v>
      </c>
      <c r="H277" s="36"/>
      <c r="I277" s="37"/>
      <c r="J277" s="1"/>
      <c r="K277" s="1"/>
      <c r="L277" s="1"/>
      <c r="M277" s="1"/>
    </row>
    <row r="278" spans="1:13" ht="40.5" customHeight="1">
      <c r="A278" s="7">
        <v>54</v>
      </c>
      <c r="B278" s="9">
        <v>46678</v>
      </c>
      <c r="C278" s="9">
        <v>46684</v>
      </c>
      <c r="D278" s="27" t="s">
        <v>469</v>
      </c>
      <c r="E278" s="27">
        <v>5</v>
      </c>
      <c r="F278" s="8" t="s">
        <v>475</v>
      </c>
      <c r="G278" s="35" t="s">
        <v>14</v>
      </c>
      <c r="H278" s="36"/>
      <c r="I278" s="37"/>
      <c r="J278" s="1"/>
      <c r="K278" s="1"/>
      <c r="L278" s="1"/>
      <c r="M278" s="1"/>
    </row>
    <row r="279" spans="1:13" ht="40.5" customHeight="1">
      <c r="A279" s="7">
        <v>55</v>
      </c>
      <c r="B279" s="9">
        <v>46685</v>
      </c>
      <c r="C279" s="9">
        <v>46691</v>
      </c>
      <c r="D279" s="27" t="s">
        <v>469</v>
      </c>
      <c r="E279" s="27">
        <v>1</v>
      </c>
      <c r="F279" s="8" t="s">
        <v>470</v>
      </c>
      <c r="G279" s="35" t="s">
        <v>14</v>
      </c>
      <c r="H279" s="36"/>
      <c r="I279" s="37"/>
      <c r="J279" s="1"/>
      <c r="K279" s="1"/>
      <c r="L279" s="1"/>
      <c r="M279" s="1"/>
    </row>
    <row r="280" spans="1:13" ht="40.5" customHeight="1">
      <c r="A280" s="7">
        <v>55</v>
      </c>
      <c r="B280" s="9">
        <v>46685</v>
      </c>
      <c r="C280" s="9">
        <v>46691</v>
      </c>
      <c r="D280" s="27" t="s">
        <v>469</v>
      </c>
      <c r="E280" s="27">
        <v>2</v>
      </c>
      <c r="F280" s="8" t="s">
        <v>471</v>
      </c>
      <c r="G280" s="35" t="s">
        <v>14</v>
      </c>
      <c r="H280" s="36"/>
      <c r="I280" s="37"/>
      <c r="J280" s="1"/>
      <c r="K280" s="1"/>
      <c r="L280" s="1"/>
      <c r="M280" s="1"/>
    </row>
    <row r="281" spans="1:13" ht="40.5" customHeight="1">
      <c r="A281" s="7">
        <v>55</v>
      </c>
      <c r="B281" s="9">
        <v>46685</v>
      </c>
      <c r="C281" s="9">
        <v>46691</v>
      </c>
      <c r="D281" s="27" t="s">
        <v>469</v>
      </c>
      <c r="E281" s="27">
        <v>3</v>
      </c>
      <c r="F281" s="8" t="s">
        <v>472</v>
      </c>
      <c r="G281" s="35" t="s">
        <v>14</v>
      </c>
      <c r="H281" s="36"/>
      <c r="I281" s="37"/>
      <c r="J281" s="1"/>
      <c r="K281" s="1"/>
      <c r="L281" s="1"/>
      <c r="M281" s="1"/>
    </row>
    <row r="282" spans="1:13" ht="40.5" customHeight="1">
      <c r="A282" s="7">
        <v>55</v>
      </c>
      <c r="B282" s="9">
        <v>46685</v>
      </c>
      <c r="C282" s="9">
        <v>46691</v>
      </c>
      <c r="D282" s="27" t="s">
        <v>469</v>
      </c>
      <c r="E282" s="27">
        <v>4</v>
      </c>
      <c r="F282" s="8" t="s">
        <v>473</v>
      </c>
      <c r="G282" s="35" t="s">
        <v>14</v>
      </c>
      <c r="H282" s="36"/>
      <c r="I282" s="37"/>
      <c r="J282" s="1"/>
      <c r="K282" s="1"/>
      <c r="L282" s="1"/>
      <c r="M282" s="1"/>
    </row>
    <row r="283" spans="1:13" ht="40.5" customHeight="1">
      <c r="A283" s="7">
        <v>55</v>
      </c>
      <c r="B283" s="9">
        <v>46685</v>
      </c>
      <c r="C283" s="9">
        <v>46691</v>
      </c>
      <c r="D283" s="27" t="s">
        <v>469</v>
      </c>
      <c r="E283" s="27">
        <v>5</v>
      </c>
      <c r="F283" s="8" t="s">
        <v>474</v>
      </c>
      <c r="G283" s="35" t="s">
        <v>14</v>
      </c>
      <c r="H283" s="36"/>
      <c r="I283" s="37"/>
      <c r="J283" s="1"/>
      <c r="K283" s="1"/>
      <c r="L283" s="1"/>
      <c r="M283" s="1"/>
    </row>
    <row r="284" spans="1:13" ht="40.5" customHeight="1">
      <c r="A284" s="7">
        <v>56</v>
      </c>
      <c r="B284" s="9">
        <v>46692</v>
      </c>
      <c r="C284" s="9">
        <v>46698</v>
      </c>
      <c r="D284" s="27" t="s">
        <v>469</v>
      </c>
      <c r="E284" s="27">
        <v>1</v>
      </c>
      <c r="F284" s="8" t="s">
        <v>470</v>
      </c>
      <c r="G284" s="35" t="s">
        <v>14</v>
      </c>
      <c r="H284" s="36"/>
      <c r="I284" s="37"/>
      <c r="J284" s="1"/>
      <c r="K284" s="1"/>
      <c r="L284" s="1"/>
      <c r="M284" s="1"/>
    </row>
    <row r="285" spans="1:13" ht="40.5" customHeight="1">
      <c r="A285" s="7">
        <v>56</v>
      </c>
      <c r="B285" s="9">
        <v>46692</v>
      </c>
      <c r="C285" s="9">
        <v>46698</v>
      </c>
      <c r="D285" s="27" t="s">
        <v>469</v>
      </c>
      <c r="E285" s="27">
        <v>2</v>
      </c>
      <c r="F285" s="8" t="s">
        <v>471</v>
      </c>
      <c r="G285" s="35" t="s">
        <v>14</v>
      </c>
      <c r="H285" s="36"/>
      <c r="I285" s="37"/>
      <c r="J285" s="1"/>
      <c r="K285" s="1"/>
      <c r="L285" s="1"/>
      <c r="M285" s="1"/>
    </row>
    <row r="286" spans="1:13" ht="40.5" customHeight="1">
      <c r="A286" s="7">
        <v>56</v>
      </c>
      <c r="B286" s="9">
        <v>46692</v>
      </c>
      <c r="C286" s="9">
        <v>46698</v>
      </c>
      <c r="D286" s="27" t="s">
        <v>469</v>
      </c>
      <c r="E286" s="27">
        <v>3</v>
      </c>
      <c r="F286" s="8" t="s">
        <v>472</v>
      </c>
      <c r="G286" s="35" t="s">
        <v>14</v>
      </c>
      <c r="H286" s="36"/>
      <c r="I286" s="37"/>
      <c r="J286" s="1"/>
      <c r="K286" s="1"/>
      <c r="L286" s="1"/>
      <c r="M286" s="1"/>
    </row>
    <row r="287" spans="1:13" ht="40.5" customHeight="1">
      <c r="A287" s="7">
        <v>56</v>
      </c>
      <c r="B287" s="9">
        <v>46692</v>
      </c>
      <c r="C287" s="9">
        <v>46698</v>
      </c>
      <c r="D287" s="27" t="s">
        <v>469</v>
      </c>
      <c r="E287" s="27">
        <v>4</v>
      </c>
      <c r="F287" s="8" t="s">
        <v>473</v>
      </c>
      <c r="G287" s="35" t="s">
        <v>14</v>
      </c>
      <c r="H287" s="36"/>
      <c r="I287" s="37"/>
      <c r="J287" s="1"/>
      <c r="K287" s="1"/>
      <c r="L287" s="1"/>
      <c r="M287" s="1"/>
    </row>
    <row r="288" spans="1:13" ht="40.5" customHeight="1">
      <c r="A288" s="7">
        <v>56</v>
      </c>
      <c r="B288" s="9">
        <v>46692</v>
      </c>
      <c r="C288" s="9">
        <v>46698</v>
      </c>
      <c r="D288" s="27" t="s">
        <v>469</v>
      </c>
      <c r="E288" s="27">
        <v>5</v>
      </c>
      <c r="F288" s="8" t="s">
        <v>475</v>
      </c>
      <c r="G288" s="35" t="s">
        <v>14</v>
      </c>
      <c r="H288" s="36"/>
      <c r="I288" s="37"/>
      <c r="J288" s="1"/>
      <c r="K288" s="1"/>
      <c r="L288" s="1"/>
      <c r="M288" s="1"/>
    </row>
    <row r="289" spans="1:13" ht="40.5" customHeight="1">
      <c r="A289" s="7">
        <v>57</v>
      </c>
      <c r="B289" s="9">
        <v>46699</v>
      </c>
      <c r="C289" s="9">
        <v>46705</v>
      </c>
      <c r="D289" s="27" t="s">
        <v>469</v>
      </c>
      <c r="E289" s="27">
        <v>1</v>
      </c>
      <c r="F289" s="8" t="s">
        <v>470</v>
      </c>
      <c r="G289" s="35" t="s">
        <v>14</v>
      </c>
      <c r="H289" s="36"/>
      <c r="I289" s="37"/>
      <c r="J289" s="1"/>
      <c r="K289" s="1"/>
      <c r="L289" s="1"/>
      <c r="M289" s="1"/>
    </row>
    <row r="290" spans="1:13" ht="40.5" customHeight="1">
      <c r="A290" s="7">
        <v>57</v>
      </c>
      <c r="B290" s="9">
        <v>46699</v>
      </c>
      <c r="C290" s="9">
        <v>46705</v>
      </c>
      <c r="D290" s="27" t="s">
        <v>469</v>
      </c>
      <c r="E290" s="27">
        <v>2</v>
      </c>
      <c r="F290" s="8" t="s">
        <v>471</v>
      </c>
      <c r="G290" s="35" t="s">
        <v>14</v>
      </c>
      <c r="H290" s="36"/>
      <c r="I290" s="37"/>
      <c r="J290" s="1"/>
      <c r="K290" s="1"/>
      <c r="L290" s="1"/>
      <c r="M290" s="1"/>
    </row>
    <row r="291" spans="1:13" ht="40.5" customHeight="1">
      <c r="A291" s="7">
        <v>57</v>
      </c>
      <c r="B291" s="9">
        <v>46699</v>
      </c>
      <c r="C291" s="9">
        <v>46705</v>
      </c>
      <c r="D291" s="27" t="s">
        <v>469</v>
      </c>
      <c r="E291" s="27">
        <v>3</v>
      </c>
      <c r="F291" s="8" t="s">
        <v>472</v>
      </c>
      <c r="G291" s="35" t="s">
        <v>14</v>
      </c>
      <c r="H291" s="36"/>
      <c r="I291" s="37"/>
      <c r="J291" s="1"/>
      <c r="K291" s="1"/>
      <c r="L291" s="1"/>
      <c r="M291" s="1"/>
    </row>
    <row r="292" spans="1:13" ht="40.5" customHeight="1">
      <c r="A292" s="7">
        <v>57</v>
      </c>
      <c r="B292" s="9">
        <v>46699</v>
      </c>
      <c r="C292" s="9">
        <v>46705</v>
      </c>
      <c r="D292" s="27" t="s">
        <v>469</v>
      </c>
      <c r="E292" s="27">
        <v>4</v>
      </c>
      <c r="F292" s="8" t="s">
        <v>473</v>
      </c>
      <c r="G292" s="35" t="s">
        <v>14</v>
      </c>
      <c r="H292" s="36"/>
      <c r="I292" s="37"/>
      <c r="J292" s="1"/>
      <c r="K292" s="1"/>
      <c r="L292" s="1"/>
      <c r="M292" s="1"/>
    </row>
    <row r="293" spans="1:13" ht="40.5" customHeight="1">
      <c r="A293" s="7">
        <v>57</v>
      </c>
      <c r="B293" s="9">
        <v>46699</v>
      </c>
      <c r="C293" s="9">
        <v>46705</v>
      </c>
      <c r="D293" s="27" t="s">
        <v>469</v>
      </c>
      <c r="E293" s="27">
        <v>5</v>
      </c>
      <c r="F293" s="8" t="s">
        <v>474</v>
      </c>
      <c r="G293" s="35" t="s">
        <v>14</v>
      </c>
      <c r="H293" s="36"/>
      <c r="I293" s="37"/>
      <c r="J293" s="1"/>
      <c r="K293" s="1"/>
      <c r="L293" s="1"/>
      <c r="M293" s="1"/>
    </row>
    <row r="294" spans="1:13" ht="40.5" customHeight="1">
      <c r="A294" s="7">
        <v>58</v>
      </c>
      <c r="B294" s="9">
        <v>46706</v>
      </c>
      <c r="C294" s="9">
        <v>46712</v>
      </c>
      <c r="D294" s="27" t="s">
        <v>469</v>
      </c>
      <c r="E294" s="27">
        <v>1</v>
      </c>
      <c r="F294" s="8" t="s">
        <v>470</v>
      </c>
      <c r="G294" s="35" t="s">
        <v>14</v>
      </c>
      <c r="H294" s="36"/>
      <c r="I294" s="37"/>
      <c r="J294" s="1"/>
      <c r="K294" s="1"/>
      <c r="L294" s="1"/>
      <c r="M294" s="1"/>
    </row>
    <row r="295" spans="1:13" ht="40.5" customHeight="1">
      <c r="A295" s="7">
        <v>58</v>
      </c>
      <c r="B295" s="9">
        <v>46706</v>
      </c>
      <c r="C295" s="9">
        <v>46712</v>
      </c>
      <c r="D295" s="27" t="s">
        <v>469</v>
      </c>
      <c r="E295" s="27">
        <v>2</v>
      </c>
      <c r="F295" s="8" t="s">
        <v>471</v>
      </c>
      <c r="G295" s="35" t="s">
        <v>14</v>
      </c>
      <c r="H295" s="36"/>
      <c r="I295" s="37"/>
      <c r="J295" s="1"/>
      <c r="K295" s="1"/>
      <c r="L295" s="1"/>
      <c r="M295" s="1"/>
    </row>
    <row r="296" spans="1:13" ht="40.5" customHeight="1">
      <c r="A296" s="7">
        <v>58</v>
      </c>
      <c r="B296" s="9">
        <v>46706</v>
      </c>
      <c r="C296" s="9">
        <v>46712</v>
      </c>
      <c r="D296" s="27" t="s">
        <v>469</v>
      </c>
      <c r="E296" s="27">
        <v>3</v>
      </c>
      <c r="F296" s="8" t="s">
        <v>472</v>
      </c>
      <c r="G296" s="35" t="s">
        <v>14</v>
      </c>
      <c r="H296" s="36"/>
      <c r="I296" s="37"/>
      <c r="J296" s="1"/>
      <c r="K296" s="1"/>
      <c r="L296" s="1"/>
      <c r="M296" s="1"/>
    </row>
    <row r="297" spans="1:13" ht="40.5" customHeight="1">
      <c r="A297" s="7">
        <v>58</v>
      </c>
      <c r="B297" s="9">
        <v>46706</v>
      </c>
      <c r="C297" s="9">
        <v>46712</v>
      </c>
      <c r="D297" s="27" t="s">
        <v>469</v>
      </c>
      <c r="E297" s="27">
        <v>4</v>
      </c>
      <c r="F297" s="8" t="s">
        <v>473</v>
      </c>
      <c r="G297" s="35" t="s">
        <v>14</v>
      </c>
      <c r="H297" s="36"/>
      <c r="I297" s="37"/>
      <c r="J297" s="1"/>
      <c r="K297" s="1"/>
      <c r="L297" s="1"/>
      <c r="M297" s="1"/>
    </row>
    <row r="298" spans="1:13" ht="40.5" customHeight="1">
      <c r="A298" s="7">
        <v>58</v>
      </c>
      <c r="B298" s="9">
        <v>46706</v>
      </c>
      <c r="C298" s="9">
        <v>46712</v>
      </c>
      <c r="D298" s="27" t="s">
        <v>469</v>
      </c>
      <c r="E298" s="27">
        <v>5</v>
      </c>
      <c r="F298" s="8" t="s">
        <v>475</v>
      </c>
      <c r="G298" s="35" t="s">
        <v>14</v>
      </c>
      <c r="H298" s="36"/>
      <c r="I298" s="37"/>
      <c r="J298" s="1"/>
      <c r="K298" s="1"/>
      <c r="L298" s="1"/>
      <c r="M298" s="1"/>
    </row>
    <row r="299" spans="1:13" ht="40.5" customHeight="1">
      <c r="A299" s="7">
        <v>59</v>
      </c>
      <c r="B299" s="9">
        <v>46713</v>
      </c>
      <c r="C299" s="9">
        <v>46719</v>
      </c>
      <c r="D299" s="27" t="s">
        <v>476</v>
      </c>
      <c r="E299" s="27">
        <v>1</v>
      </c>
      <c r="F299" s="8" t="s">
        <v>477</v>
      </c>
      <c r="G299" s="35" t="s">
        <v>14</v>
      </c>
      <c r="H299" s="36"/>
      <c r="I299" s="37"/>
      <c r="J299" s="1"/>
      <c r="K299" s="1"/>
      <c r="L299" s="1"/>
      <c r="M299" s="1"/>
    </row>
    <row r="300" spans="1:13" ht="40.5" customHeight="1">
      <c r="A300" s="7">
        <v>59</v>
      </c>
      <c r="B300" s="9">
        <v>46713</v>
      </c>
      <c r="C300" s="9">
        <v>46719</v>
      </c>
      <c r="D300" s="27" t="s">
        <v>476</v>
      </c>
      <c r="E300" s="27">
        <v>2</v>
      </c>
      <c r="F300" s="8" t="s">
        <v>478</v>
      </c>
      <c r="G300" s="35" t="s">
        <v>14</v>
      </c>
      <c r="H300" s="36"/>
      <c r="I300" s="37"/>
      <c r="J300" s="1"/>
      <c r="K300" s="1"/>
      <c r="L300" s="1"/>
      <c r="M300" s="1"/>
    </row>
    <row r="301" spans="1:13" ht="40.5" customHeight="1">
      <c r="A301" s="7">
        <v>59</v>
      </c>
      <c r="B301" s="9">
        <v>46713</v>
      </c>
      <c r="C301" s="9">
        <v>46719</v>
      </c>
      <c r="D301" s="27" t="s">
        <v>476</v>
      </c>
      <c r="E301" s="27">
        <v>3</v>
      </c>
      <c r="F301" s="8" t="s">
        <v>479</v>
      </c>
      <c r="G301" s="35" t="s">
        <v>14</v>
      </c>
      <c r="H301" s="36"/>
      <c r="I301" s="37"/>
      <c r="J301" s="1"/>
      <c r="K301" s="1"/>
      <c r="L301" s="1"/>
      <c r="M301" s="1"/>
    </row>
    <row r="302" spans="1:13" ht="40.5" customHeight="1">
      <c r="A302" s="7">
        <v>59</v>
      </c>
      <c r="B302" s="9">
        <v>46713</v>
      </c>
      <c r="C302" s="9">
        <v>46719</v>
      </c>
      <c r="D302" s="27" t="s">
        <v>476</v>
      </c>
      <c r="E302" s="27">
        <v>4</v>
      </c>
      <c r="F302" s="8" t="s">
        <v>480</v>
      </c>
      <c r="G302" s="35" t="s">
        <v>14</v>
      </c>
      <c r="H302" s="36"/>
      <c r="I302" s="37"/>
      <c r="J302" s="1"/>
      <c r="K302" s="1"/>
      <c r="L302" s="1"/>
      <c r="M302" s="1"/>
    </row>
    <row r="303" spans="1:13" ht="40.5" customHeight="1">
      <c r="A303" s="7">
        <v>59</v>
      </c>
      <c r="B303" s="9">
        <v>46713</v>
      </c>
      <c r="C303" s="9">
        <v>46719</v>
      </c>
      <c r="D303" s="27" t="s">
        <v>476</v>
      </c>
      <c r="E303" s="27">
        <v>5</v>
      </c>
      <c r="F303" s="8" t="s">
        <v>481</v>
      </c>
      <c r="G303" s="35" t="s">
        <v>14</v>
      </c>
      <c r="H303" s="36"/>
      <c r="I303" s="37"/>
      <c r="J303" s="1"/>
      <c r="K303" s="1"/>
      <c r="L303" s="1"/>
      <c r="M303" s="1"/>
    </row>
    <row r="304" spans="1:13" ht="40.5" customHeight="1">
      <c r="A304" s="7">
        <v>60</v>
      </c>
      <c r="B304" s="9">
        <v>46720</v>
      </c>
      <c r="C304" s="9">
        <v>46726</v>
      </c>
      <c r="D304" s="27" t="s">
        <v>476</v>
      </c>
      <c r="E304" s="27">
        <v>1</v>
      </c>
      <c r="F304" s="8" t="s">
        <v>477</v>
      </c>
      <c r="G304" s="35" t="s">
        <v>14</v>
      </c>
      <c r="H304" s="36"/>
      <c r="I304" s="37"/>
      <c r="J304" s="1"/>
      <c r="K304" s="1"/>
      <c r="L304" s="1"/>
      <c r="M304" s="1"/>
    </row>
    <row r="305" spans="1:13" ht="40.5" customHeight="1">
      <c r="A305" s="7">
        <v>60</v>
      </c>
      <c r="B305" s="9">
        <v>46720</v>
      </c>
      <c r="C305" s="9">
        <v>46726</v>
      </c>
      <c r="D305" s="27" t="s">
        <v>476</v>
      </c>
      <c r="E305" s="27">
        <v>2</v>
      </c>
      <c r="F305" s="8" t="s">
        <v>478</v>
      </c>
      <c r="G305" s="35" t="s">
        <v>14</v>
      </c>
      <c r="H305" s="36"/>
      <c r="I305" s="37"/>
      <c r="J305" s="1"/>
      <c r="K305" s="1"/>
      <c r="L305" s="1"/>
      <c r="M305" s="1"/>
    </row>
    <row r="306" spans="1:13" ht="40.5" customHeight="1">
      <c r="A306" s="7">
        <v>60</v>
      </c>
      <c r="B306" s="9">
        <v>46720</v>
      </c>
      <c r="C306" s="9">
        <v>46726</v>
      </c>
      <c r="D306" s="27" t="s">
        <v>476</v>
      </c>
      <c r="E306" s="27">
        <v>3</v>
      </c>
      <c r="F306" s="8" t="s">
        <v>479</v>
      </c>
      <c r="G306" s="35" t="s">
        <v>14</v>
      </c>
      <c r="H306" s="36"/>
      <c r="I306" s="37"/>
      <c r="J306" s="1"/>
      <c r="K306" s="1"/>
      <c r="L306" s="1"/>
      <c r="M306" s="1"/>
    </row>
    <row r="307" spans="1:13" ht="40.5" customHeight="1">
      <c r="A307" s="7">
        <v>60</v>
      </c>
      <c r="B307" s="9">
        <v>46720</v>
      </c>
      <c r="C307" s="9">
        <v>46726</v>
      </c>
      <c r="D307" s="27" t="s">
        <v>476</v>
      </c>
      <c r="E307" s="27">
        <v>4</v>
      </c>
      <c r="F307" s="8" t="s">
        <v>480</v>
      </c>
      <c r="G307" s="35" t="s">
        <v>14</v>
      </c>
      <c r="H307" s="36"/>
      <c r="I307" s="37"/>
      <c r="J307" s="1"/>
      <c r="K307" s="1"/>
      <c r="L307" s="1"/>
      <c r="M307" s="1"/>
    </row>
    <row r="308" spans="1:13" ht="40.5" customHeight="1">
      <c r="A308" s="7">
        <v>60</v>
      </c>
      <c r="B308" s="9">
        <v>46720</v>
      </c>
      <c r="C308" s="9">
        <v>46726</v>
      </c>
      <c r="D308" s="27" t="s">
        <v>476</v>
      </c>
      <c r="E308" s="27">
        <v>5</v>
      </c>
      <c r="F308" s="8" t="s">
        <v>481</v>
      </c>
      <c r="G308" s="35" t="s">
        <v>14</v>
      </c>
      <c r="H308" s="36"/>
      <c r="I308" s="37"/>
      <c r="J308" s="1"/>
      <c r="K308" s="1"/>
      <c r="L308" s="1"/>
      <c r="M308" s="1"/>
    </row>
    <row r="309" spans="1:13" ht="40.5" customHeight="1">
      <c r="A309" s="7">
        <v>61</v>
      </c>
      <c r="B309" s="9">
        <v>46727</v>
      </c>
      <c r="C309" s="9">
        <v>46733</v>
      </c>
      <c r="D309" s="27" t="s">
        <v>476</v>
      </c>
      <c r="E309" s="27">
        <v>1</v>
      </c>
      <c r="F309" s="8" t="s">
        <v>477</v>
      </c>
      <c r="G309" s="35" t="s">
        <v>14</v>
      </c>
      <c r="H309" s="36"/>
      <c r="I309" s="37"/>
      <c r="J309" s="1"/>
      <c r="K309" s="1"/>
      <c r="L309" s="1"/>
      <c r="M309" s="1"/>
    </row>
    <row r="310" spans="1:13" ht="40.5" customHeight="1">
      <c r="A310" s="7">
        <v>61</v>
      </c>
      <c r="B310" s="9">
        <v>46727</v>
      </c>
      <c r="C310" s="9">
        <v>46733</v>
      </c>
      <c r="D310" s="27" t="s">
        <v>476</v>
      </c>
      <c r="E310" s="27">
        <v>2</v>
      </c>
      <c r="F310" s="8" t="s">
        <v>478</v>
      </c>
      <c r="G310" s="35" t="s">
        <v>14</v>
      </c>
      <c r="H310" s="36"/>
      <c r="I310" s="37"/>
      <c r="J310" s="1"/>
      <c r="K310" s="1"/>
      <c r="L310" s="1"/>
      <c r="M310" s="1"/>
    </row>
    <row r="311" spans="1:13" ht="40.5" customHeight="1">
      <c r="A311" s="7">
        <v>61</v>
      </c>
      <c r="B311" s="9">
        <v>46727</v>
      </c>
      <c r="C311" s="9">
        <v>46733</v>
      </c>
      <c r="D311" s="27" t="s">
        <v>476</v>
      </c>
      <c r="E311" s="27">
        <v>3</v>
      </c>
      <c r="F311" s="8" t="s">
        <v>479</v>
      </c>
      <c r="G311" s="35" t="s">
        <v>14</v>
      </c>
      <c r="H311" s="36"/>
      <c r="I311" s="37"/>
      <c r="J311" s="1"/>
      <c r="K311" s="1"/>
      <c r="L311" s="1"/>
      <c r="M311" s="1"/>
    </row>
    <row r="312" spans="1:13" ht="40.5" customHeight="1">
      <c r="A312" s="7">
        <v>61</v>
      </c>
      <c r="B312" s="9">
        <v>46727</v>
      </c>
      <c r="C312" s="9">
        <v>46733</v>
      </c>
      <c r="D312" s="27" t="s">
        <v>476</v>
      </c>
      <c r="E312" s="27">
        <v>4</v>
      </c>
      <c r="F312" s="8" t="s">
        <v>480</v>
      </c>
      <c r="G312" s="35" t="s">
        <v>14</v>
      </c>
      <c r="H312" s="36"/>
      <c r="I312" s="37"/>
      <c r="J312" s="1"/>
      <c r="K312" s="1"/>
      <c r="L312" s="1"/>
      <c r="M312" s="1"/>
    </row>
    <row r="313" spans="1:13" ht="40.5" customHeight="1">
      <c r="A313" s="7">
        <v>61</v>
      </c>
      <c r="B313" s="9">
        <v>46727</v>
      </c>
      <c r="C313" s="9">
        <v>46733</v>
      </c>
      <c r="D313" s="27" t="s">
        <v>476</v>
      </c>
      <c r="E313" s="27">
        <v>5</v>
      </c>
      <c r="F313" s="8" t="s">
        <v>481</v>
      </c>
      <c r="G313" s="35" t="s">
        <v>14</v>
      </c>
      <c r="H313" s="36"/>
      <c r="I313" s="37"/>
      <c r="J313" s="1"/>
      <c r="K313" s="1"/>
      <c r="L313" s="1"/>
      <c r="M313" s="1"/>
    </row>
    <row r="314" spans="1:13" ht="40.5" customHeight="1">
      <c r="A314" s="7">
        <v>62</v>
      </c>
      <c r="B314" s="9">
        <v>46734</v>
      </c>
      <c r="C314" s="9">
        <v>46740</v>
      </c>
      <c r="D314" s="27" t="s">
        <v>476</v>
      </c>
      <c r="E314" s="27">
        <v>1</v>
      </c>
      <c r="F314" s="8" t="s">
        <v>477</v>
      </c>
      <c r="G314" s="35" t="s">
        <v>14</v>
      </c>
      <c r="H314" s="36"/>
      <c r="I314" s="37"/>
      <c r="J314" s="1"/>
      <c r="K314" s="1"/>
      <c r="L314" s="1"/>
      <c r="M314" s="1"/>
    </row>
    <row r="315" spans="1:13" ht="40.5" customHeight="1">
      <c r="A315" s="7">
        <v>62</v>
      </c>
      <c r="B315" s="9">
        <v>46734</v>
      </c>
      <c r="C315" s="9">
        <v>46740</v>
      </c>
      <c r="D315" s="27" t="s">
        <v>476</v>
      </c>
      <c r="E315" s="27">
        <v>2</v>
      </c>
      <c r="F315" s="8" t="s">
        <v>478</v>
      </c>
      <c r="G315" s="35" t="s">
        <v>14</v>
      </c>
      <c r="H315" s="36"/>
      <c r="I315" s="37"/>
      <c r="J315" s="1"/>
      <c r="K315" s="1"/>
      <c r="L315" s="1"/>
      <c r="M315" s="1"/>
    </row>
    <row r="316" spans="1:13" ht="40.5" customHeight="1">
      <c r="A316" s="7">
        <v>62</v>
      </c>
      <c r="B316" s="9">
        <v>46734</v>
      </c>
      <c r="C316" s="9">
        <v>46740</v>
      </c>
      <c r="D316" s="27" t="s">
        <v>476</v>
      </c>
      <c r="E316" s="27">
        <v>3</v>
      </c>
      <c r="F316" s="8" t="s">
        <v>479</v>
      </c>
      <c r="G316" s="35" t="s">
        <v>14</v>
      </c>
      <c r="H316" s="36"/>
      <c r="I316" s="37"/>
      <c r="J316" s="1"/>
      <c r="K316" s="1"/>
      <c r="L316" s="1"/>
      <c r="M316" s="1"/>
    </row>
    <row r="317" spans="1:13" ht="40.5" customHeight="1">
      <c r="A317" s="7">
        <v>62</v>
      </c>
      <c r="B317" s="9">
        <v>46734</v>
      </c>
      <c r="C317" s="9">
        <v>46740</v>
      </c>
      <c r="D317" s="27" t="s">
        <v>476</v>
      </c>
      <c r="E317" s="27">
        <v>4</v>
      </c>
      <c r="F317" s="8" t="s">
        <v>480</v>
      </c>
      <c r="G317" s="35" t="s">
        <v>14</v>
      </c>
      <c r="H317" s="36"/>
      <c r="I317" s="37"/>
      <c r="J317" s="1"/>
      <c r="K317" s="1"/>
      <c r="L317" s="1"/>
      <c r="M317" s="1"/>
    </row>
    <row r="318" spans="1:13" ht="40.5" customHeight="1">
      <c r="A318" s="7">
        <v>62</v>
      </c>
      <c r="B318" s="9">
        <v>46734</v>
      </c>
      <c r="C318" s="9">
        <v>46740</v>
      </c>
      <c r="D318" s="27" t="s">
        <v>476</v>
      </c>
      <c r="E318" s="27">
        <v>5</v>
      </c>
      <c r="F318" s="8" t="s">
        <v>482</v>
      </c>
      <c r="G318" s="35" t="s">
        <v>14</v>
      </c>
      <c r="H318" s="36"/>
      <c r="I318" s="37"/>
      <c r="J318" s="1"/>
      <c r="K318" s="1"/>
      <c r="L318" s="1"/>
      <c r="M318" s="1"/>
    </row>
  </sheetData>
  <mergeCells count="10">
    <mergeCell ref="K74:M74"/>
    <mergeCell ref="K75:M79"/>
    <mergeCell ref="K81:M81"/>
    <mergeCell ref="K82:M86"/>
    <mergeCell ref="K88:M88"/>
    <mergeCell ref="K89:M93"/>
    <mergeCell ref="K95:M95"/>
    <mergeCell ref="K96:M100"/>
    <mergeCell ref="K102:M102"/>
    <mergeCell ref="K103:M107"/>
  </mergeCells>
  <phoneticPr fontId="9" type="noConversion"/>
  <conditionalFormatting sqref="A9:I318">
    <cfRule type="expression" dxfId="1" priority="1">
      <formula>$G9="☑"</formula>
    </cfRule>
  </conditionalFormatting>
  <dataValidations count="1">
    <dataValidation type="list" sqref="G9:G318" xr:uid="{00000000-0002-0000-02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94D75"/>
  </sheetPr>
  <dimension ref="A1:M148"/>
  <sheetViews>
    <sheetView showGridLines="0" workbookViewId="0">
      <pane ySplit="8" topLeftCell="A9" activePane="bottomLeft" state="frozen"/>
      <selection pane="bottomLeft"/>
    </sheetView>
  </sheetViews>
  <sheetFormatPr defaultRowHeight="14.25"/>
  <cols>
    <col min="1" max="1" width="6.125" customWidth="1"/>
    <col min="2" max="3" width="10.875" customWidth="1"/>
    <col min="4" max="4" width="18.875" customWidth="1"/>
    <col min="5" max="5" width="5.5" customWidth="1"/>
    <col min="6" max="6" width="52.25" customWidth="1"/>
    <col min="7" max="7" width="7.25" customWidth="1"/>
    <col min="8" max="8" width="11.625" customWidth="1"/>
    <col min="9" max="9" width="24.5" customWidth="1"/>
    <col min="10" max="10" width="2.5" customWidth="1"/>
    <col min="11" max="11" width="6.125" customWidth="1"/>
    <col min="12" max="12" width="8.375" customWidth="1"/>
    <col min="13" max="13" width="8.875" customWidth="1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3.950000000000003" customHeight="1">
      <c r="A2" s="2" t="s">
        <v>483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32" t="s">
        <v>0</v>
      </c>
      <c r="B4" s="32">
        <v>140</v>
      </c>
      <c r="C4" s="32" t="s">
        <v>1</v>
      </c>
      <c r="D4" s="32">
        <f>COUNTIFS(G9:G148,"☑")</f>
        <v>0</v>
      </c>
      <c r="E4" s="32" t="s">
        <v>2</v>
      </c>
      <c r="F4" s="33">
        <f>D4/B4</f>
        <v>0</v>
      </c>
      <c r="G4" s="1"/>
      <c r="H4" s="1"/>
      <c r="I4" s="1"/>
      <c r="J4" s="1"/>
      <c r="K4" s="1"/>
      <c r="L4" s="1"/>
      <c r="M4" s="1"/>
    </row>
    <row r="5" spans="1:13">
      <c r="A5" s="25" t="s">
        <v>404</v>
      </c>
      <c r="B5" s="25"/>
      <c r="C5" s="25"/>
      <c r="D5" s="25"/>
      <c r="E5" s="25"/>
      <c r="F5" s="25"/>
      <c r="G5" s="25"/>
      <c r="H5" s="25"/>
      <c r="I5" s="25"/>
      <c r="J5" s="1"/>
      <c r="K5" s="1"/>
      <c r="L5" s="1"/>
      <c r="M5" s="1"/>
    </row>
    <row r="6" spans="1:13">
      <c r="A6" s="25" t="s">
        <v>484</v>
      </c>
      <c r="B6" s="25"/>
      <c r="C6" s="25"/>
      <c r="D6" s="25"/>
      <c r="E6" s="25"/>
      <c r="F6" s="25"/>
      <c r="G6" s="25"/>
      <c r="H6" s="25"/>
      <c r="I6" s="25"/>
      <c r="J6" s="1"/>
      <c r="K6" s="1"/>
      <c r="L6" s="1"/>
      <c r="M6" s="1"/>
    </row>
    <row r="7" spans="1:1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32.1" customHeight="1">
      <c r="A8" s="34" t="s">
        <v>4</v>
      </c>
      <c r="B8" s="34" t="s">
        <v>406</v>
      </c>
      <c r="C8" s="34" t="s">
        <v>407</v>
      </c>
      <c r="D8" s="34" t="s">
        <v>408</v>
      </c>
      <c r="E8" s="34" t="s">
        <v>6</v>
      </c>
      <c r="F8" s="34" t="s">
        <v>409</v>
      </c>
      <c r="G8" s="34" t="s">
        <v>8</v>
      </c>
      <c r="H8" s="34" t="s">
        <v>9</v>
      </c>
      <c r="I8" s="34" t="s">
        <v>10</v>
      </c>
      <c r="J8" s="1"/>
      <c r="K8" s="38" t="s">
        <v>4</v>
      </c>
      <c r="L8" s="38" t="s">
        <v>1</v>
      </c>
      <c r="M8" s="38" t="s">
        <v>11</v>
      </c>
    </row>
    <row r="9" spans="1:13" ht="40.5" customHeight="1">
      <c r="A9" s="7">
        <v>1</v>
      </c>
      <c r="B9" s="9">
        <v>46545</v>
      </c>
      <c r="C9" s="9">
        <v>46551</v>
      </c>
      <c r="D9" s="27" t="s">
        <v>485</v>
      </c>
      <c r="E9" s="27">
        <v>1</v>
      </c>
      <c r="F9" s="8" t="s">
        <v>486</v>
      </c>
      <c r="G9" s="35" t="s">
        <v>14</v>
      </c>
      <c r="H9" s="36"/>
      <c r="I9" s="37"/>
      <c r="J9" s="1"/>
      <c r="K9" s="7">
        <v>1</v>
      </c>
      <c r="L9" s="7">
        <f t="shared" ref="L9:L36" si="0">COUNTIFS($A$9:$A$148,K9,$G$9:$G$148,"☑")</f>
        <v>0</v>
      </c>
      <c r="M9" s="22">
        <f t="shared" ref="M9:M36" si="1">L9/5</f>
        <v>0</v>
      </c>
    </row>
    <row r="10" spans="1:13" ht="40.5" customHeight="1">
      <c r="A10" s="7">
        <v>1</v>
      </c>
      <c r="B10" s="9">
        <v>46545</v>
      </c>
      <c r="C10" s="9">
        <v>46551</v>
      </c>
      <c r="D10" s="27" t="s">
        <v>485</v>
      </c>
      <c r="E10" s="27">
        <v>2</v>
      </c>
      <c r="F10" s="8" t="s">
        <v>487</v>
      </c>
      <c r="G10" s="35" t="s">
        <v>14</v>
      </c>
      <c r="H10" s="36"/>
      <c r="I10" s="37"/>
      <c r="J10" s="1"/>
      <c r="K10" s="7">
        <v>2</v>
      </c>
      <c r="L10" s="7">
        <f t="shared" si="0"/>
        <v>0</v>
      </c>
      <c r="M10" s="22">
        <f t="shared" si="1"/>
        <v>0</v>
      </c>
    </row>
    <row r="11" spans="1:13" ht="40.5" customHeight="1">
      <c r="A11" s="7">
        <v>1</v>
      </c>
      <c r="B11" s="9">
        <v>46545</v>
      </c>
      <c r="C11" s="9">
        <v>46551</v>
      </c>
      <c r="D11" s="27" t="s">
        <v>485</v>
      </c>
      <c r="E11" s="27">
        <v>3</v>
      </c>
      <c r="F11" s="8" t="s">
        <v>488</v>
      </c>
      <c r="G11" s="35" t="s">
        <v>14</v>
      </c>
      <c r="H11" s="36"/>
      <c r="I11" s="37"/>
      <c r="J11" s="1"/>
      <c r="K11" s="7">
        <v>3</v>
      </c>
      <c r="L11" s="7">
        <f t="shared" si="0"/>
        <v>0</v>
      </c>
      <c r="M11" s="22">
        <f t="shared" si="1"/>
        <v>0</v>
      </c>
    </row>
    <row r="12" spans="1:13" ht="40.5" customHeight="1">
      <c r="A12" s="7">
        <v>1</v>
      </c>
      <c r="B12" s="9">
        <v>46545</v>
      </c>
      <c r="C12" s="9">
        <v>46551</v>
      </c>
      <c r="D12" s="27" t="s">
        <v>485</v>
      </c>
      <c r="E12" s="27">
        <v>4</v>
      </c>
      <c r="F12" s="8" t="s">
        <v>489</v>
      </c>
      <c r="G12" s="35" t="s">
        <v>14</v>
      </c>
      <c r="H12" s="36"/>
      <c r="I12" s="37"/>
      <c r="J12" s="1"/>
      <c r="K12" s="7">
        <v>4</v>
      </c>
      <c r="L12" s="7">
        <f t="shared" si="0"/>
        <v>0</v>
      </c>
      <c r="M12" s="22">
        <f t="shared" si="1"/>
        <v>0</v>
      </c>
    </row>
    <row r="13" spans="1:13" ht="40.5" customHeight="1">
      <c r="A13" s="7">
        <v>1</v>
      </c>
      <c r="B13" s="9">
        <v>46545</v>
      </c>
      <c r="C13" s="9">
        <v>46551</v>
      </c>
      <c r="D13" s="27" t="s">
        <v>485</v>
      </c>
      <c r="E13" s="27">
        <v>5</v>
      </c>
      <c r="F13" s="8" t="s">
        <v>490</v>
      </c>
      <c r="G13" s="35" t="s">
        <v>14</v>
      </c>
      <c r="H13" s="36"/>
      <c r="I13" s="37"/>
      <c r="J13" s="1"/>
      <c r="K13" s="7">
        <v>5</v>
      </c>
      <c r="L13" s="7">
        <f t="shared" si="0"/>
        <v>0</v>
      </c>
      <c r="M13" s="22">
        <f t="shared" si="1"/>
        <v>0</v>
      </c>
    </row>
    <row r="14" spans="1:13" ht="40.5" customHeight="1">
      <c r="A14" s="7">
        <v>2</v>
      </c>
      <c r="B14" s="9">
        <v>46552</v>
      </c>
      <c r="C14" s="9">
        <v>46558</v>
      </c>
      <c r="D14" s="27" t="s">
        <v>491</v>
      </c>
      <c r="E14" s="27">
        <v>1</v>
      </c>
      <c r="F14" s="8" t="s">
        <v>492</v>
      </c>
      <c r="G14" s="35" t="s">
        <v>14</v>
      </c>
      <c r="H14" s="36"/>
      <c r="I14" s="37"/>
      <c r="J14" s="1"/>
      <c r="K14" s="7">
        <v>6</v>
      </c>
      <c r="L14" s="7">
        <f t="shared" si="0"/>
        <v>0</v>
      </c>
      <c r="M14" s="22">
        <f t="shared" si="1"/>
        <v>0</v>
      </c>
    </row>
    <row r="15" spans="1:13" ht="40.5" customHeight="1">
      <c r="A15" s="7">
        <v>2</v>
      </c>
      <c r="B15" s="9">
        <v>46552</v>
      </c>
      <c r="C15" s="9">
        <v>46558</v>
      </c>
      <c r="D15" s="27" t="s">
        <v>491</v>
      </c>
      <c r="E15" s="27">
        <v>2</v>
      </c>
      <c r="F15" s="8" t="s">
        <v>493</v>
      </c>
      <c r="G15" s="35" t="s">
        <v>14</v>
      </c>
      <c r="H15" s="36"/>
      <c r="I15" s="37"/>
      <c r="J15" s="1"/>
      <c r="K15" s="7">
        <v>7</v>
      </c>
      <c r="L15" s="7">
        <f t="shared" si="0"/>
        <v>0</v>
      </c>
      <c r="M15" s="22">
        <f t="shared" si="1"/>
        <v>0</v>
      </c>
    </row>
    <row r="16" spans="1:13" ht="40.5" customHeight="1">
      <c r="A16" s="7">
        <v>2</v>
      </c>
      <c r="B16" s="9">
        <v>46552</v>
      </c>
      <c r="C16" s="9">
        <v>46558</v>
      </c>
      <c r="D16" s="27" t="s">
        <v>491</v>
      </c>
      <c r="E16" s="27">
        <v>3</v>
      </c>
      <c r="F16" s="8" t="s">
        <v>494</v>
      </c>
      <c r="G16" s="35" t="s">
        <v>14</v>
      </c>
      <c r="H16" s="36"/>
      <c r="I16" s="37"/>
      <c r="J16" s="1"/>
      <c r="K16" s="7">
        <v>8</v>
      </c>
      <c r="L16" s="7">
        <f t="shared" si="0"/>
        <v>0</v>
      </c>
      <c r="M16" s="22">
        <f t="shared" si="1"/>
        <v>0</v>
      </c>
    </row>
    <row r="17" spans="1:13" ht="40.5" customHeight="1">
      <c r="A17" s="7">
        <v>2</v>
      </c>
      <c r="B17" s="9">
        <v>46552</v>
      </c>
      <c r="C17" s="9">
        <v>46558</v>
      </c>
      <c r="D17" s="27" t="s">
        <v>491</v>
      </c>
      <c r="E17" s="27">
        <v>4</v>
      </c>
      <c r="F17" s="8" t="s">
        <v>495</v>
      </c>
      <c r="G17" s="35" t="s">
        <v>14</v>
      </c>
      <c r="H17" s="36"/>
      <c r="I17" s="37"/>
      <c r="J17" s="1"/>
      <c r="K17" s="7">
        <v>9</v>
      </c>
      <c r="L17" s="7">
        <f t="shared" si="0"/>
        <v>0</v>
      </c>
      <c r="M17" s="22">
        <f t="shared" si="1"/>
        <v>0</v>
      </c>
    </row>
    <row r="18" spans="1:13" ht="40.5" customHeight="1">
      <c r="A18" s="7">
        <v>2</v>
      </c>
      <c r="B18" s="9">
        <v>46552</v>
      </c>
      <c r="C18" s="9">
        <v>46558</v>
      </c>
      <c r="D18" s="27" t="s">
        <v>491</v>
      </c>
      <c r="E18" s="27">
        <v>5</v>
      </c>
      <c r="F18" s="8" t="s">
        <v>496</v>
      </c>
      <c r="G18" s="35" t="s">
        <v>14</v>
      </c>
      <c r="H18" s="36"/>
      <c r="I18" s="37"/>
      <c r="J18" s="1"/>
      <c r="K18" s="7">
        <v>10</v>
      </c>
      <c r="L18" s="7">
        <f t="shared" si="0"/>
        <v>0</v>
      </c>
      <c r="M18" s="22">
        <f t="shared" si="1"/>
        <v>0</v>
      </c>
    </row>
    <row r="19" spans="1:13" ht="40.5" customHeight="1">
      <c r="A19" s="7">
        <v>3</v>
      </c>
      <c r="B19" s="9">
        <v>46559</v>
      </c>
      <c r="C19" s="9">
        <v>46565</v>
      </c>
      <c r="D19" s="27" t="s">
        <v>497</v>
      </c>
      <c r="E19" s="27">
        <v>1</v>
      </c>
      <c r="F19" s="8" t="s">
        <v>498</v>
      </c>
      <c r="G19" s="35" t="s">
        <v>14</v>
      </c>
      <c r="H19" s="36"/>
      <c r="I19" s="37"/>
      <c r="J19" s="1"/>
      <c r="K19" s="7">
        <v>11</v>
      </c>
      <c r="L19" s="7">
        <f t="shared" si="0"/>
        <v>0</v>
      </c>
      <c r="M19" s="22">
        <f t="shared" si="1"/>
        <v>0</v>
      </c>
    </row>
    <row r="20" spans="1:13" ht="40.5" customHeight="1">
      <c r="A20" s="7">
        <v>3</v>
      </c>
      <c r="B20" s="9">
        <v>46559</v>
      </c>
      <c r="C20" s="9">
        <v>46565</v>
      </c>
      <c r="D20" s="27" t="s">
        <v>497</v>
      </c>
      <c r="E20" s="27">
        <v>2</v>
      </c>
      <c r="F20" s="8" t="s">
        <v>499</v>
      </c>
      <c r="G20" s="35" t="s">
        <v>14</v>
      </c>
      <c r="H20" s="36"/>
      <c r="I20" s="37"/>
      <c r="J20" s="1"/>
      <c r="K20" s="7">
        <v>12</v>
      </c>
      <c r="L20" s="7">
        <f t="shared" si="0"/>
        <v>0</v>
      </c>
      <c r="M20" s="22">
        <f t="shared" si="1"/>
        <v>0</v>
      </c>
    </row>
    <row r="21" spans="1:13" ht="40.5" customHeight="1">
      <c r="A21" s="7">
        <v>3</v>
      </c>
      <c r="B21" s="9">
        <v>46559</v>
      </c>
      <c r="C21" s="9">
        <v>46565</v>
      </c>
      <c r="D21" s="27" t="s">
        <v>497</v>
      </c>
      <c r="E21" s="27">
        <v>3</v>
      </c>
      <c r="F21" s="8" t="s">
        <v>500</v>
      </c>
      <c r="G21" s="35" t="s">
        <v>14</v>
      </c>
      <c r="H21" s="36"/>
      <c r="I21" s="37"/>
      <c r="J21" s="1"/>
      <c r="K21" s="7">
        <v>13</v>
      </c>
      <c r="L21" s="7">
        <f t="shared" si="0"/>
        <v>0</v>
      </c>
      <c r="M21" s="22">
        <f t="shared" si="1"/>
        <v>0</v>
      </c>
    </row>
    <row r="22" spans="1:13" ht="40.5" customHeight="1">
      <c r="A22" s="7">
        <v>3</v>
      </c>
      <c r="B22" s="9">
        <v>46559</v>
      </c>
      <c r="C22" s="9">
        <v>46565</v>
      </c>
      <c r="D22" s="27" t="s">
        <v>497</v>
      </c>
      <c r="E22" s="27">
        <v>4</v>
      </c>
      <c r="F22" s="8" t="s">
        <v>501</v>
      </c>
      <c r="G22" s="35" t="s">
        <v>14</v>
      </c>
      <c r="H22" s="36"/>
      <c r="I22" s="37"/>
      <c r="J22" s="1"/>
      <c r="K22" s="7">
        <v>14</v>
      </c>
      <c r="L22" s="7">
        <f t="shared" si="0"/>
        <v>0</v>
      </c>
      <c r="M22" s="22">
        <f t="shared" si="1"/>
        <v>0</v>
      </c>
    </row>
    <row r="23" spans="1:13" ht="40.5" customHeight="1">
      <c r="A23" s="7">
        <v>3</v>
      </c>
      <c r="B23" s="9">
        <v>46559</v>
      </c>
      <c r="C23" s="9">
        <v>46565</v>
      </c>
      <c r="D23" s="27" t="s">
        <v>497</v>
      </c>
      <c r="E23" s="27">
        <v>5</v>
      </c>
      <c r="F23" s="8" t="s">
        <v>502</v>
      </c>
      <c r="G23" s="35" t="s">
        <v>14</v>
      </c>
      <c r="H23" s="36"/>
      <c r="I23" s="37"/>
      <c r="J23" s="1"/>
      <c r="K23" s="7">
        <v>15</v>
      </c>
      <c r="L23" s="7">
        <f t="shared" si="0"/>
        <v>0</v>
      </c>
      <c r="M23" s="22">
        <f t="shared" si="1"/>
        <v>0</v>
      </c>
    </row>
    <row r="24" spans="1:13" ht="40.5" customHeight="1">
      <c r="A24" s="7">
        <v>4</v>
      </c>
      <c r="B24" s="9">
        <v>46566</v>
      </c>
      <c r="C24" s="9">
        <v>46572</v>
      </c>
      <c r="D24" s="27" t="s">
        <v>503</v>
      </c>
      <c r="E24" s="27">
        <v>1</v>
      </c>
      <c r="F24" s="8" t="s">
        <v>504</v>
      </c>
      <c r="G24" s="35" t="s">
        <v>14</v>
      </c>
      <c r="H24" s="36"/>
      <c r="I24" s="37"/>
      <c r="J24" s="1"/>
      <c r="K24" s="7">
        <v>16</v>
      </c>
      <c r="L24" s="7">
        <f t="shared" si="0"/>
        <v>0</v>
      </c>
      <c r="M24" s="22">
        <f t="shared" si="1"/>
        <v>0</v>
      </c>
    </row>
    <row r="25" spans="1:13" ht="40.5" customHeight="1">
      <c r="A25" s="7">
        <v>4</v>
      </c>
      <c r="B25" s="9">
        <v>46566</v>
      </c>
      <c r="C25" s="9">
        <v>46572</v>
      </c>
      <c r="D25" s="27" t="s">
        <v>503</v>
      </c>
      <c r="E25" s="27">
        <v>2</v>
      </c>
      <c r="F25" s="8" t="s">
        <v>505</v>
      </c>
      <c r="G25" s="35" t="s">
        <v>14</v>
      </c>
      <c r="H25" s="36"/>
      <c r="I25" s="37"/>
      <c r="J25" s="1"/>
      <c r="K25" s="7">
        <v>17</v>
      </c>
      <c r="L25" s="7">
        <f t="shared" si="0"/>
        <v>0</v>
      </c>
      <c r="M25" s="22">
        <f t="shared" si="1"/>
        <v>0</v>
      </c>
    </row>
    <row r="26" spans="1:13" ht="40.5" customHeight="1">
      <c r="A26" s="7">
        <v>4</v>
      </c>
      <c r="B26" s="9">
        <v>46566</v>
      </c>
      <c r="C26" s="9">
        <v>46572</v>
      </c>
      <c r="D26" s="27" t="s">
        <v>503</v>
      </c>
      <c r="E26" s="27">
        <v>3</v>
      </c>
      <c r="F26" s="8" t="s">
        <v>506</v>
      </c>
      <c r="G26" s="35" t="s">
        <v>14</v>
      </c>
      <c r="H26" s="36"/>
      <c r="I26" s="37"/>
      <c r="J26" s="1"/>
      <c r="K26" s="7">
        <v>18</v>
      </c>
      <c r="L26" s="7">
        <f t="shared" si="0"/>
        <v>0</v>
      </c>
      <c r="M26" s="22">
        <f t="shared" si="1"/>
        <v>0</v>
      </c>
    </row>
    <row r="27" spans="1:13" ht="40.5" customHeight="1">
      <c r="A27" s="7">
        <v>4</v>
      </c>
      <c r="B27" s="9">
        <v>46566</v>
      </c>
      <c r="C27" s="9">
        <v>46572</v>
      </c>
      <c r="D27" s="27" t="s">
        <v>503</v>
      </c>
      <c r="E27" s="27">
        <v>4</v>
      </c>
      <c r="F27" s="8" t="s">
        <v>507</v>
      </c>
      <c r="G27" s="35" t="s">
        <v>14</v>
      </c>
      <c r="H27" s="36"/>
      <c r="I27" s="37"/>
      <c r="J27" s="1"/>
      <c r="K27" s="7">
        <v>19</v>
      </c>
      <c r="L27" s="7">
        <f t="shared" si="0"/>
        <v>0</v>
      </c>
      <c r="M27" s="22">
        <f t="shared" si="1"/>
        <v>0</v>
      </c>
    </row>
    <row r="28" spans="1:13" ht="40.5" customHeight="1">
      <c r="A28" s="7">
        <v>4</v>
      </c>
      <c r="B28" s="9">
        <v>46566</v>
      </c>
      <c r="C28" s="9">
        <v>46572</v>
      </c>
      <c r="D28" s="27" t="s">
        <v>503</v>
      </c>
      <c r="E28" s="27">
        <v>5</v>
      </c>
      <c r="F28" s="8" t="s">
        <v>508</v>
      </c>
      <c r="G28" s="35" t="s">
        <v>14</v>
      </c>
      <c r="H28" s="36"/>
      <c r="I28" s="37"/>
      <c r="J28" s="1"/>
      <c r="K28" s="7">
        <v>20</v>
      </c>
      <c r="L28" s="7">
        <f t="shared" si="0"/>
        <v>0</v>
      </c>
      <c r="M28" s="22">
        <f t="shared" si="1"/>
        <v>0</v>
      </c>
    </row>
    <row r="29" spans="1:13" ht="40.5" customHeight="1">
      <c r="A29" s="7">
        <v>5</v>
      </c>
      <c r="B29" s="9">
        <v>46573</v>
      </c>
      <c r="C29" s="9">
        <v>46579</v>
      </c>
      <c r="D29" s="27" t="s">
        <v>509</v>
      </c>
      <c r="E29" s="27">
        <v>1</v>
      </c>
      <c r="F29" s="8" t="s">
        <v>510</v>
      </c>
      <c r="G29" s="35" t="s">
        <v>14</v>
      </c>
      <c r="H29" s="36"/>
      <c r="I29" s="37"/>
      <c r="J29" s="1"/>
      <c r="K29" s="7">
        <v>21</v>
      </c>
      <c r="L29" s="7">
        <f t="shared" si="0"/>
        <v>0</v>
      </c>
      <c r="M29" s="22">
        <f t="shared" si="1"/>
        <v>0</v>
      </c>
    </row>
    <row r="30" spans="1:13" ht="40.5" customHeight="1">
      <c r="A30" s="7">
        <v>5</v>
      </c>
      <c r="B30" s="9">
        <v>46573</v>
      </c>
      <c r="C30" s="9">
        <v>46579</v>
      </c>
      <c r="D30" s="27" t="s">
        <v>509</v>
      </c>
      <c r="E30" s="27">
        <v>2</v>
      </c>
      <c r="F30" s="8" t="s">
        <v>511</v>
      </c>
      <c r="G30" s="35" t="s">
        <v>14</v>
      </c>
      <c r="H30" s="36"/>
      <c r="I30" s="37"/>
      <c r="J30" s="1"/>
      <c r="K30" s="7">
        <v>22</v>
      </c>
      <c r="L30" s="7">
        <f t="shared" si="0"/>
        <v>0</v>
      </c>
      <c r="M30" s="22">
        <f t="shared" si="1"/>
        <v>0</v>
      </c>
    </row>
    <row r="31" spans="1:13" ht="40.5" customHeight="1">
      <c r="A31" s="7">
        <v>5</v>
      </c>
      <c r="B31" s="9">
        <v>46573</v>
      </c>
      <c r="C31" s="9">
        <v>46579</v>
      </c>
      <c r="D31" s="27" t="s">
        <v>509</v>
      </c>
      <c r="E31" s="27">
        <v>3</v>
      </c>
      <c r="F31" s="8" t="s">
        <v>512</v>
      </c>
      <c r="G31" s="35" t="s">
        <v>14</v>
      </c>
      <c r="H31" s="36"/>
      <c r="I31" s="37"/>
      <c r="J31" s="1"/>
      <c r="K31" s="7">
        <v>23</v>
      </c>
      <c r="L31" s="7">
        <f t="shared" si="0"/>
        <v>0</v>
      </c>
      <c r="M31" s="22">
        <f t="shared" si="1"/>
        <v>0</v>
      </c>
    </row>
    <row r="32" spans="1:13" ht="40.5" customHeight="1">
      <c r="A32" s="7">
        <v>5</v>
      </c>
      <c r="B32" s="9">
        <v>46573</v>
      </c>
      <c r="C32" s="9">
        <v>46579</v>
      </c>
      <c r="D32" s="27" t="s">
        <v>509</v>
      </c>
      <c r="E32" s="27">
        <v>4</v>
      </c>
      <c r="F32" s="8" t="s">
        <v>513</v>
      </c>
      <c r="G32" s="35" t="s">
        <v>14</v>
      </c>
      <c r="H32" s="36"/>
      <c r="I32" s="37"/>
      <c r="J32" s="1"/>
      <c r="K32" s="7">
        <v>24</v>
      </c>
      <c r="L32" s="7">
        <f t="shared" si="0"/>
        <v>0</v>
      </c>
      <c r="M32" s="22">
        <f t="shared" si="1"/>
        <v>0</v>
      </c>
    </row>
    <row r="33" spans="1:13" ht="40.5" customHeight="1">
      <c r="A33" s="7">
        <v>5</v>
      </c>
      <c r="B33" s="9">
        <v>46573</v>
      </c>
      <c r="C33" s="9">
        <v>46579</v>
      </c>
      <c r="D33" s="27" t="s">
        <v>509</v>
      </c>
      <c r="E33" s="27">
        <v>5</v>
      </c>
      <c r="F33" s="8" t="s">
        <v>514</v>
      </c>
      <c r="G33" s="35" t="s">
        <v>14</v>
      </c>
      <c r="H33" s="36"/>
      <c r="I33" s="37"/>
      <c r="J33" s="1"/>
      <c r="K33" s="7">
        <v>25</v>
      </c>
      <c r="L33" s="7">
        <f t="shared" si="0"/>
        <v>0</v>
      </c>
      <c r="M33" s="22">
        <f t="shared" si="1"/>
        <v>0</v>
      </c>
    </row>
    <row r="34" spans="1:13" ht="40.5" customHeight="1">
      <c r="A34" s="7">
        <v>6</v>
      </c>
      <c r="B34" s="9">
        <v>46580</v>
      </c>
      <c r="C34" s="9">
        <v>46586</v>
      </c>
      <c r="D34" s="27" t="s">
        <v>515</v>
      </c>
      <c r="E34" s="27">
        <v>1</v>
      </c>
      <c r="F34" s="8" t="s">
        <v>516</v>
      </c>
      <c r="G34" s="35" t="s">
        <v>14</v>
      </c>
      <c r="H34" s="36"/>
      <c r="I34" s="37"/>
      <c r="J34" s="1"/>
      <c r="K34" s="7">
        <v>26</v>
      </c>
      <c r="L34" s="7">
        <f t="shared" si="0"/>
        <v>0</v>
      </c>
      <c r="M34" s="22">
        <f t="shared" si="1"/>
        <v>0</v>
      </c>
    </row>
    <row r="35" spans="1:13" ht="40.5" customHeight="1">
      <c r="A35" s="7">
        <v>6</v>
      </c>
      <c r="B35" s="9">
        <v>46580</v>
      </c>
      <c r="C35" s="9">
        <v>46586</v>
      </c>
      <c r="D35" s="27" t="s">
        <v>515</v>
      </c>
      <c r="E35" s="27">
        <v>2</v>
      </c>
      <c r="F35" s="8" t="s">
        <v>517</v>
      </c>
      <c r="G35" s="35" t="s">
        <v>14</v>
      </c>
      <c r="H35" s="36"/>
      <c r="I35" s="37"/>
      <c r="J35" s="1"/>
      <c r="K35" s="7">
        <v>27</v>
      </c>
      <c r="L35" s="7">
        <f t="shared" si="0"/>
        <v>0</v>
      </c>
      <c r="M35" s="22">
        <f t="shared" si="1"/>
        <v>0</v>
      </c>
    </row>
    <row r="36" spans="1:13" ht="40.5" customHeight="1">
      <c r="A36" s="7">
        <v>6</v>
      </c>
      <c r="B36" s="9">
        <v>46580</v>
      </c>
      <c r="C36" s="9">
        <v>46586</v>
      </c>
      <c r="D36" s="27" t="s">
        <v>515</v>
      </c>
      <c r="E36" s="27">
        <v>3</v>
      </c>
      <c r="F36" s="8" t="s">
        <v>518</v>
      </c>
      <c r="G36" s="35" t="s">
        <v>14</v>
      </c>
      <c r="H36" s="36"/>
      <c r="I36" s="37"/>
      <c r="J36" s="1"/>
      <c r="K36" s="7">
        <v>28</v>
      </c>
      <c r="L36" s="7">
        <f t="shared" si="0"/>
        <v>0</v>
      </c>
      <c r="M36" s="22">
        <f t="shared" si="1"/>
        <v>0</v>
      </c>
    </row>
    <row r="37" spans="1:13" ht="40.5" customHeight="1">
      <c r="A37" s="7">
        <v>6</v>
      </c>
      <c r="B37" s="9">
        <v>46580</v>
      </c>
      <c r="C37" s="9">
        <v>46586</v>
      </c>
      <c r="D37" s="27" t="s">
        <v>515</v>
      </c>
      <c r="E37" s="27">
        <v>4</v>
      </c>
      <c r="F37" s="8" t="s">
        <v>519</v>
      </c>
      <c r="G37" s="35" t="s">
        <v>14</v>
      </c>
      <c r="H37" s="36"/>
      <c r="I37" s="37"/>
      <c r="J37" s="1"/>
      <c r="K37" s="1"/>
      <c r="L37" s="1"/>
      <c r="M37" s="1"/>
    </row>
    <row r="38" spans="1:13" ht="40.5" customHeight="1">
      <c r="A38" s="7">
        <v>6</v>
      </c>
      <c r="B38" s="9">
        <v>46580</v>
      </c>
      <c r="C38" s="9">
        <v>46586</v>
      </c>
      <c r="D38" s="27" t="s">
        <v>515</v>
      </c>
      <c r="E38" s="27">
        <v>5</v>
      </c>
      <c r="F38" s="8" t="s">
        <v>520</v>
      </c>
      <c r="G38" s="35" t="s">
        <v>14</v>
      </c>
      <c r="H38" s="36"/>
      <c r="I38" s="37"/>
      <c r="J38" s="1"/>
      <c r="K38" s="1"/>
      <c r="L38" s="1"/>
      <c r="M38" s="1"/>
    </row>
    <row r="39" spans="1:13" ht="40.5" customHeight="1">
      <c r="A39" s="7">
        <v>7</v>
      </c>
      <c r="B39" s="9">
        <v>46587</v>
      </c>
      <c r="C39" s="9">
        <v>46593</v>
      </c>
      <c r="D39" s="27" t="s">
        <v>521</v>
      </c>
      <c r="E39" s="27">
        <v>1</v>
      </c>
      <c r="F39" s="8" t="s">
        <v>522</v>
      </c>
      <c r="G39" s="35" t="s">
        <v>14</v>
      </c>
      <c r="H39" s="36"/>
      <c r="I39" s="37"/>
      <c r="J39" s="1"/>
      <c r="K39" s="1"/>
      <c r="L39" s="1"/>
      <c r="M39" s="1"/>
    </row>
    <row r="40" spans="1:13" ht="40.5" customHeight="1">
      <c r="A40" s="7">
        <v>7</v>
      </c>
      <c r="B40" s="9">
        <v>46587</v>
      </c>
      <c r="C40" s="9">
        <v>46593</v>
      </c>
      <c r="D40" s="27" t="s">
        <v>521</v>
      </c>
      <c r="E40" s="27">
        <v>2</v>
      </c>
      <c r="F40" s="8" t="s">
        <v>523</v>
      </c>
      <c r="G40" s="35" t="s">
        <v>14</v>
      </c>
      <c r="H40" s="36"/>
      <c r="I40" s="37"/>
      <c r="J40" s="1"/>
      <c r="K40" s="46" t="s">
        <v>524</v>
      </c>
      <c r="L40" s="40"/>
      <c r="M40" s="40"/>
    </row>
    <row r="41" spans="1:13" ht="40.5" customHeight="1">
      <c r="A41" s="7">
        <v>7</v>
      </c>
      <c r="B41" s="9">
        <v>46587</v>
      </c>
      <c r="C41" s="9">
        <v>46593</v>
      </c>
      <c r="D41" s="27" t="s">
        <v>521</v>
      </c>
      <c r="E41" s="27">
        <v>3</v>
      </c>
      <c r="F41" s="8" t="s">
        <v>525</v>
      </c>
      <c r="G41" s="35" t="s">
        <v>14</v>
      </c>
      <c r="H41" s="36"/>
      <c r="I41" s="37"/>
      <c r="J41" s="1"/>
      <c r="K41" s="44" t="s">
        <v>526</v>
      </c>
      <c r="L41" s="44"/>
      <c r="M41" s="44"/>
    </row>
    <row r="42" spans="1:13" ht="40.5" customHeight="1">
      <c r="A42" s="7">
        <v>7</v>
      </c>
      <c r="B42" s="9">
        <v>46587</v>
      </c>
      <c r="C42" s="9">
        <v>46593</v>
      </c>
      <c r="D42" s="27" t="s">
        <v>521</v>
      </c>
      <c r="E42" s="27">
        <v>4</v>
      </c>
      <c r="F42" s="8" t="s">
        <v>527</v>
      </c>
      <c r="G42" s="35" t="s">
        <v>14</v>
      </c>
      <c r="H42" s="36"/>
      <c r="I42" s="37"/>
      <c r="J42" s="1"/>
      <c r="K42" s="44"/>
      <c r="L42" s="44"/>
      <c r="M42" s="44"/>
    </row>
    <row r="43" spans="1:13" ht="40.5" customHeight="1">
      <c r="A43" s="7">
        <v>7</v>
      </c>
      <c r="B43" s="9">
        <v>46587</v>
      </c>
      <c r="C43" s="9">
        <v>46593</v>
      </c>
      <c r="D43" s="27" t="s">
        <v>521</v>
      </c>
      <c r="E43" s="27">
        <v>5</v>
      </c>
      <c r="F43" s="8" t="s">
        <v>528</v>
      </c>
      <c r="G43" s="35" t="s">
        <v>14</v>
      </c>
      <c r="H43" s="36"/>
      <c r="I43" s="37"/>
      <c r="J43" s="1"/>
      <c r="K43" s="44"/>
      <c r="L43" s="44"/>
      <c r="M43" s="44"/>
    </row>
    <row r="44" spans="1:13" ht="40.5" customHeight="1">
      <c r="A44" s="7">
        <v>8</v>
      </c>
      <c r="B44" s="9">
        <v>46594</v>
      </c>
      <c r="C44" s="9">
        <v>46600</v>
      </c>
      <c r="D44" s="27" t="s">
        <v>529</v>
      </c>
      <c r="E44" s="27">
        <v>1</v>
      </c>
      <c r="F44" s="8" t="s">
        <v>530</v>
      </c>
      <c r="G44" s="35" t="s">
        <v>14</v>
      </c>
      <c r="H44" s="36"/>
      <c r="I44" s="37"/>
      <c r="J44" s="1"/>
      <c r="K44" s="44"/>
      <c r="L44" s="44"/>
      <c r="M44" s="44"/>
    </row>
    <row r="45" spans="1:13" ht="40.5" customHeight="1">
      <c r="A45" s="7">
        <v>8</v>
      </c>
      <c r="B45" s="9">
        <v>46594</v>
      </c>
      <c r="C45" s="9">
        <v>46600</v>
      </c>
      <c r="D45" s="27" t="s">
        <v>529</v>
      </c>
      <c r="E45" s="27">
        <v>2</v>
      </c>
      <c r="F45" s="8" t="s">
        <v>531</v>
      </c>
      <c r="G45" s="35" t="s">
        <v>14</v>
      </c>
      <c r="H45" s="36"/>
      <c r="I45" s="37"/>
      <c r="J45" s="1"/>
      <c r="K45" s="44"/>
      <c r="L45" s="44"/>
      <c r="M45" s="44"/>
    </row>
    <row r="46" spans="1:13" ht="40.5" customHeight="1">
      <c r="A46" s="7">
        <v>8</v>
      </c>
      <c r="B46" s="9">
        <v>46594</v>
      </c>
      <c r="C46" s="9">
        <v>46600</v>
      </c>
      <c r="D46" s="27" t="s">
        <v>529</v>
      </c>
      <c r="E46" s="27">
        <v>3</v>
      </c>
      <c r="F46" s="8" t="s">
        <v>532</v>
      </c>
      <c r="G46" s="35" t="s">
        <v>14</v>
      </c>
      <c r="H46" s="36"/>
      <c r="I46" s="37"/>
      <c r="J46" s="1"/>
      <c r="K46" s="1"/>
      <c r="L46" s="1"/>
      <c r="M46" s="1"/>
    </row>
    <row r="47" spans="1:13" ht="40.5" customHeight="1">
      <c r="A47" s="7">
        <v>8</v>
      </c>
      <c r="B47" s="9">
        <v>46594</v>
      </c>
      <c r="C47" s="9">
        <v>46600</v>
      </c>
      <c r="D47" s="27" t="s">
        <v>529</v>
      </c>
      <c r="E47" s="27">
        <v>4</v>
      </c>
      <c r="F47" s="8" t="s">
        <v>533</v>
      </c>
      <c r="G47" s="35" t="s">
        <v>14</v>
      </c>
      <c r="H47" s="36"/>
      <c r="I47" s="37"/>
      <c r="J47" s="1"/>
      <c r="K47" s="46" t="s">
        <v>534</v>
      </c>
      <c r="L47" s="40"/>
      <c r="M47" s="40"/>
    </row>
    <row r="48" spans="1:13" ht="40.5" customHeight="1">
      <c r="A48" s="7">
        <v>8</v>
      </c>
      <c r="B48" s="9">
        <v>46594</v>
      </c>
      <c r="C48" s="9">
        <v>46600</v>
      </c>
      <c r="D48" s="27" t="s">
        <v>529</v>
      </c>
      <c r="E48" s="27">
        <v>5</v>
      </c>
      <c r="F48" s="8" t="s">
        <v>535</v>
      </c>
      <c r="G48" s="35" t="s">
        <v>14</v>
      </c>
      <c r="H48" s="36"/>
      <c r="I48" s="37"/>
      <c r="J48" s="1"/>
      <c r="K48" s="44" t="s">
        <v>536</v>
      </c>
      <c r="L48" s="44"/>
      <c r="M48" s="44"/>
    </row>
    <row r="49" spans="1:13" ht="40.5" customHeight="1">
      <c r="A49" s="7">
        <v>9</v>
      </c>
      <c r="B49" s="9">
        <v>46601</v>
      </c>
      <c r="C49" s="9">
        <v>46607</v>
      </c>
      <c r="D49" s="27" t="s">
        <v>537</v>
      </c>
      <c r="E49" s="27">
        <v>1</v>
      </c>
      <c r="F49" s="8" t="s">
        <v>538</v>
      </c>
      <c r="G49" s="35" t="s">
        <v>14</v>
      </c>
      <c r="H49" s="36"/>
      <c r="I49" s="37"/>
      <c r="J49" s="1"/>
      <c r="K49" s="44"/>
      <c r="L49" s="44"/>
      <c r="M49" s="44"/>
    </row>
    <row r="50" spans="1:13" ht="40.5" customHeight="1">
      <c r="A50" s="7">
        <v>9</v>
      </c>
      <c r="B50" s="9">
        <v>46601</v>
      </c>
      <c r="C50" s="9">
        <v>46607</v>
      </c>
      <c r="D50" s="27" t="s">
        <v>537</v>
      </c>
      <c r="E50" s="27">
        <v>2</v>
      </c>
      <c r="F50" s="8" t="s">
        <v>539</v>
      </c>
      <c r="G50" s="35" t="s">
        <v>14</v>
      </c>
      <c r="H50" s="36"/>
      <c r="I50" s="37"/>
      <c r="J50" s="1"/>
      <c r="K50" s="44"/>
      <c r="L50" s="44"/>
      <c r="M50" s="44"/>
    </row>
    <row r="51" spans="1:13" ht="40.5" customHeight="1">
      <c r="A51" s="7">
        <v>9</v>
      </c>
      <c r="B51" s="9">
        <v>46601</v>
      </c>
      <c r="C51" s="9">
        <v>46607</v>
      </c>
      <c r="D51" s="27" t="s">
        <v>537</v>
      </c>
      <c r="E51" s="27">
        <v>3</v>
      </c>
      <c r="F51" s="8" t="s">
        <v>540</v>
      </c>
      <c r="G51" s="35" t="s">
        <v>14</v>
      </c>
      <c r="H51" s="36"/>
      <c r="I51" s="37"/>
      <c r="J51" s="1"/>
      <c r="K51" s="44"/>
      <c r="L51" s="44"/>
      <c r="M51" s="44"/>
    </row>
    <row r="52" spans="1:13" ht="40.5" customHeight="1">
      <c r="A52" s="7">
        <v>9</v>
      </c>
      <c r="B52" s="9">
        <v>46601</v>
      </c>
      <c r="C52" s="9">
        <v>46607</v>
      </c>
      <c r="D52" s="27" t="s">
        <v>537</v>
      </c>
      <c r="E52" s="27">
        <v>4</v>
      </c>
      <c r="F52" s="8" t="s">
        <v>541</v>
      </c>
      <c r="G52" s="35" t="s">
        <v>14</v>
      </c>
      <c r="H52" s="36"/>
      <c r="I52" s="37"/>
      <c r="J52" s="1"/>
      <c r="K52" s="44"/>
      <c r="L52" s="44"/>
      <c r="M52" s="44"/>
    </row>
    <row r="53" spans="1:13" ht="40.5" customHeight="1">
      <c r="A53" s="7">
        <v>9</v>
      </c>
      <c r="B53" s="9">
        <v>46601</v>
      </c>
      <c r="C53" s="9">
        <v>46607</v>
      </c>
      <c r="D53" s="27" t="s">
        <v>537</v>
      </c>
      <c r="E53" s="27">
        <v>5</v>
      </c>
      <c r="F53" s="8" t="s">
        <v>542</v>
      </c>
      <c r="G53" s="35" t="s">
        <v>14</v>
      </c>
      <c r="H53" s="36"/>
      <c r="I53" s="37"/>
      <c r="J53" s="1"/>
      <c r="K53" s="1"/>
      <c r="L53" s="1"/>
      <c r="M53" s="1"/>
    </row>
    <row r="54" spans="1:13" ht="40.5" customHeight="1">
      <c r="A54" s="7">
        <v>10</v>
      </c>
      <c r="B54" s="9">
        <v>46608</v>
      </c>
      <c r="C54" s="9">
        <v>46614</v>
      </c>
      <c r="D54" s="27" t="s">
        <v>543</v>
      </c>
      <c r="E54" s="27">
        <v>1</v>
      </c>
      <c r="F54" s="8" t="s">
        <v>544</v>
      </c>
      <c r="G54" s="35" t="s">
        <v>14</v>
      </c>
      <c r="H54" s="36"/>
      <c r="I54" s="37"/>
      <c r="J54" s="1"/>
      <c r="K54" s="46" t="s">
        <v>545</v>
      </c>
      <c r="L54" s="40"/>
      <c r="M54" s="40"/>
    </row>
    <row r="55" spans="1:13" ht="40.5" customHeight="1">
      <c r="A55" s="7">
        <v>10</v>
      </c>
      <c r="B55" s="9">
        <v>46608</v>
      </c>
      <c r="C55" s="9">
        <v>46614</v>
      </c>
      <c r="D55" s="27" t="s">
        <v>543</v>
      </c>
      <c r="E55" s="27">
        <v>2</v>
      </c>
      <c r="F55" s="8" t="s">
        <v>546</v>
      </c>
      <c r="G55" s="35" t="s">
        <v>14</v>
      </c>
      <c r="H55" s="36"/>
      <c r="I55" s="37"/>
      <c r="J55" s="1"/>
      <c r="K55" s="44" t="s">
        <v>547</v>
      </c>
      <c r="L55" s="44"/>
      <c r="M55" s="44"/>
    </row>
    <row r="56" spans="1:13" ht="40.5" customHeight="1">
      <c r="A56" s="7">
        <v>10</v>
      </c>
      <c r="B56" s="9">
        <v>46608</v>
      </c>
      <c r="C56" s="9">
        <v>46614</v>
      </c>
      <c r="D56" s="27" t="s">
        <v>543</v>
      </c>
      <c r="E56" s="27">
        <v>3</v>
      </c>
      <c r="F56" s="8" t="s">
        <v>548</v>
      </c>
      <c r="G56" s="35" t="s">
        <v>14</v>
      </c>
      <c r="H56" s="36"/>
      <c r="I56" s="37"/>
      <c r="J56" s="1"/>
      <c r="K56" s="44"/>
      <c r="L56" s="44"/>
      <c r="M56" s="44"/>
    </row>
    <row r="57" spans="1:13" ht="40.5" customHeight="1">
      <c r="A57" s="7">
        <v>10</v>
      </c>
      <c r="B57" s="9">
        <v>46608</v>
      </c>
      <c r="C57" s="9">
        <v>46614</v>
      </c>
      <c r="D57" s="27" t="s">
        <v>543</v>
      </c>
      <c r="E57" s="27">
        <v>4</v>
      </c>
      <c r="F57" s="8" t="s">
        <v>549</v>
      </c>
      <c r="G57" s="35" t="s">
        <v>14</v>
      </c>
      <c r="H57" s="36"/>
      <c r="I57" s="37"/>
      <c r="J57" s="1"/>
      <c r="K57" s="44"/>
      <c r="L57" s="44"/>
      <c r="M57" s="44"/>
    </row>
    <row r="58" spans="1:13" ht="40.5" customHeight="1">
      <c r="A58" s="7">
        <v>10</v>
      </c>
      <c r="B58" s="9">
        <v>46608</v>
      </c>
      <c r="C58" s="9">
        <v>46614</v>
      </c>
      <c r="D58" s="27" t="s">
        <v>543</v>
      </c>
      <c r="E58" s="27">
        <v>5</v>
      </c>
      <c r="F58" s="8" t="s">
        <v>550</v>
      </c>
      <c r="G58" s="35" t="s">
        <v>14</v>
      </c>
      <c r="H58" s="36"/>
      <c r="I58" s="37"/>
      <c r="J58" s="1"/>
      <c r="K58" s="44"/>
      <c r="L58" s="44"/>
      <c r="M58" s="44"/>
    </row>
    <row r="59" spans="1:13" ht="40.5" customHeight="1">
      <c r="A59" s="7">
        <v>11</v>
      </c>
      <c r="B59" s="9">
        <v>46615</v>
      </c>
      <c r="C59" s="9">
        <v>46621</v>
      </c>
      <c r="D59" s="27" t="s">
        <v>551</v>
      </c>
      <c r="E59" s="27">
        <v>1</v>
      </c>
      <c r="F59" s="8" t="s">
        <v>552</v>
      </c>
      <c r="G59" s="35" t="s">
        <v>14</v>
      </c>
      <c r="H59" s="36"/>
      <c r="I59" s="37"/>
      <c r="J59" s="1"/>
      <c r="K59" s="44"/>
      <c r="L59" s="44"/>
      <c r="M59" s="44"/>
    </row>
    <row r="60" spans="1:13" ht="40.5" customHeight="1">
      <c r="A60" s="7">
        <v>11</v>
      </c>
      <c r="B60" s="9">
        <v>46615</v>
      </c>
      <c r="C60" s="9">
        <v>46621</v>
      </c>
      <c r="D60" s="27" t="s">
        <v>551</v>
      </c>
      <c r="E60" s="27">
        <v>2</v>
      </c>
      <c r="F60" s="8" t="s">
        <v>553</v>
      </c>
      <c r="G60" s="35" t="s">
        <v>14</v>
      </c>
      <c r="H60" s="36"/>
      <c r="I60" s="37"/>
      <c r="J60" s="1"/>
      <c r="K60" s="1"/>
      <c r="L60" s="1"/>
      <c r="M60" s="1"/>
    </row>
    <row r="61" spans="1:13" ht="40.5" customHeight="1">
      <c r="A61" s="7">
        <v>11</v>
      </c>
      <c r="B61" s="9">
        <v>46615</v>
      </c>
      <c r="C61" s="9">
        <v>46621</v>
      </c>
      <c r="D61" s="27" t="s">
        <v>551</v>
      </c>
      <c r="E61" s="27">
        <v>3</v>
      </c>
      <c r="F61" s="8" t="s">
        <v>554</v>
      </c>
      <c r="G61" s="35" t="s">
        <v>14</v>
      </c>
      <c r="H61" s="36"/>
      <c r="I61" s="37"/>
      <c r="J61" s="1"/>
      <c r="K61" s="46" t="s">
        <v>231</v>
      </c>
      <c r="L61" s="40"/>
      <c r="M61" s="40"/>
    </row>
    <row r="62" spans="1:13" ht="40.5" customHeight="1">
      <c r="A62" s="7">
        <v>11</v>
      </c>
      <c r="B62" s="9">
        <v>46615</v>
      </c>
      <c r="C62" s="9">
        <v>46621</v>
      </c>
      <c r="D62" s="27" t="s">
        <v>551</v>
      </c>
      <c r="E62" s="27">
        <v>4</v>
      </c>
      <c r="F62" s="8" t="s">
        <v>555</v>
      </c>
      <c r="G62" s="35" t="s">
        <v>14</v>
      </c>
      <c r="H62" s="36"/>
      <c r="I62" s="37"/>
      <c r="J62" s="1"/>
      <c r="K62" s="44" t="s">
        <v>556</v>
      </c>
      <c r="L62" s="44"/>
      <c r="M62" s="44"/>
    </row>
    <row r="63" spans="1:13" ht="40.5" customHeight="1">
      <c r="A63" s="7">
        <v>11</v>
      </c>
      <c r="B63" s="9">
        <v>46615</v>
      </c>
      <c r="C63" s="9">
        <v>46621</v>
      </c>
      <c r="D63" s="27" t="s">
        <v>551</v>
      </c>
      <c r="E63" s="27">
        <v>5</v>
      </c>
      <c r="F63" s="8" t="s">
        <v>557</v>
      </c>
      <c r="G63" s="35" t="s">
        <v>14</v>
      </c>
      <c r="H63" s="36"/>
      <c r="I63" s="37"/>
      <c r="J63" s="1"/>
      <c r="K63" s="44"/>
      <c r="L63" s="44"/>
      <c r="M63" s="44"/>
    </row>
    <row r="64" spans="1:13" ht="40.5" customHeight="1">
      <c r="A64" s="7">
        <v>12</v>
      </c>
      <c r="B64" s="9">
        <v>46622</v>
      </c>
      <c r="C64" s="9">
        <v>46628</v>
      </c>
      <c r="D64" s="27" t="s">
        <v>558</v>
      </c>
      <c r="E64" s="27">
        <v>1</v>
      </c>
      <c r="F64" s="8" t="s">
        <v>559</v>
      </c>
      <c r="G64" s="35" t="s">
        <v>14</v>
      </c>
      <c r="H64" s="36"/>
      <c r="I64" s="37"/>
      <c r="J64" s="1"/>
      <c r="K64" s="44"/>
      <c r="L64" s="44"/>
      <c r="M64" s="44"/>
    </row>
    <row r="65" spans="1:13" ht="40.5" customHeight="1">
      <c r="A65" s="7">
        <v>12</v>
      </c>
      <c r="B65" s="9">
        <v>46622</v>
      </c>
      <c r="C65" s="9">
        <v>46628</v>
      </c>
      <c r="D65" s="27" t="s">
        <v>558</v>
      </c>
      <c r="E65" s="27">
        <v>2</v>
      </c>
      <c r="F65" s="8" t="s">
        <v>560</v>
      </c>
      <c r="G65" s="35" t="s">
        <v>14</v>
      </c>
      <c r="H65" s="36"/>
      <c r="I65" s="37"/>
      <c r="J65" s="1"/>
      <c r="K65" s="44"/>
      <c r="L65" s="44"/>
      <c r="M65" s="44"/>
    </row>
    <row r="66" spans="1:13" ht="40.5" customHeight="1">
      <c r="A66" s="7">
        <v>12</v>
      </c>
      <c r="B66" s="9">
        <v>46622</v>
      </c>
      <c r="C66" s="9">
        <v>46628</v>
      </c>
      <c r="D66" s="27" t="s">
        <v>558</v>
      </c>
      <c r="E66" s="27">
        <v>3</v>
      </c>
      <c r="F66" s="8" t="s">
        <v>561</v>
      </c>
      <c r="G66" s="35" t="s">
        <v>14</v>
      </c>
      <c r="H66" s="36"/>
      <c r="I66" s="37"/>
      <c r="J66" s="1"/>
      <c r="K66" s="44"/>
      <c r="L66" s="44"/>
      <c r="M66" s="44"/>
    </row>
    <row r="67" spans="1:13" ht="40.5" customHeight="1">
      <c r="A67" s="7">
        <v>12</v>
      </c>
      <c r="B67" s="9">
        <v>46622</v>
      </c>
      <c r="C67" s="9">
        <v>46628</v>
      </c>
      <c r="D67" s="27" t="s">
        <v>558</v>
      </c>
      <c r="E67" s="27">
        <v>4</v>
      </c>
      <c r="F67" s="8" t="s">
        <v>562</v>
      </c>
      <c r="G67" s="35" t="s">
        <v>14</v>
      </c>
      <c r="H67" s="36"/>
      <c r="I67" s="37"/>
      <c r="J67" s="1"/>
      <c r="K67" s="1"/>
      <c r="L67" s="1"/>
      <c r="M67" s="1"/>
    </row>
    <row r="68" spans="1:13" ht="40.5" customHeight="1">
      <c r="A68" s="7">
        <v>12</v>
      </c>
      <c r="B68" s="9">
        <v>46622</v>
      </c>
      <c r="C68" s="9">
        <v>46628</v>
      </c>
      <c r="D68" s="27" t="s">
        <v>558</v>
      </c>
      <c r="E68" s="27">
        <v>5</v>
      </c>
      <c r="F68" s="8" t="s">
        <v>563</v>
      </c>
      <c r="G68" s="35" t="s">
        <v>14</v>
      </c>
      <c r="H68" s="36"/>
      <c r="I68" s="37"/>
      <c r="J68" s="1"/>
      <c r="K68" s="46" t="s">
        <v>564</v>
      </c>
      <c r="L68" s="40"/>
      <c r="M68" s="40"/>
    </row>
    <row r="69" spans="1:13" ht="40.5" customHeight="1">
      <c r="A69" s="7">
        <v>13</v>
      </c>
      <c r="B69" s="9">
        <v>46629</v>
      </c>
      <c r="C69" s="9">
        <v>46635</v>
      </c>
      <c r="D69" s="27" t="s">
        <v>565</v>
      </c>
      <c r="E69" s="27">
        <v>1</v>
      </c>
      <c r="F69" s="8" t="s">
        <v>566</v>
      </c>
      <c r="G69" s="35" t="s">
        <v>14</v>
      </c>
      <c r="H69" s="36"/>
      <c r="I69" s="37"/>
      <c r="J69" s="1"/>
      <c r="K69" s="44" t="s">
        <v>567</v>
      </c>
      <c r="L69" s="44"/>
      <c r="M69" s="44"/>
    </row>
    <row r="70" spans="1:13" ht="40.5" customHeight="1">
      <c r="A70" s="7">
        <v>13</v>
      </c>
      <c r="B70" s="9">
        <v>46629</v>
      </c>
      <c r="C70" s="9">
        <v>46635</v>
      </c>
      <c r="D70" s="27" t="s">
        <v>565</v>
      </c>
      <c r="E70" s="27">
        <v>2</v>
      </c>
      <c r="F70" s="8" t="s">
        <v>568</v>
      </c>
      <c r="G70" s="35" t="s">
        <v>14</v>
      </c>
      <c r="H70" s="36"/>
      <c r="I70" s="37"/>
      <c r="J70" s="1"/>
      <c r="K70" s="44"/>
      <c r="L70" s="44"/>
      <c r="M70" s="44"/>
    </row>
    <row r="71" spans="1:13" ht="40.5" customHeight="1">
      <c r="A71" s="7">
        <v>13</v>
      </c>
      <c r="B71" s="9">
        <v>46629</v>
      </c>
      <c r="C71" s="9">
        <v>46635</v>
      </c>
      <c r="D71" s="27" t="s">
        <v>565</v>
      </c>
      <c r="E71" s="27">
        <v>3</v>
      </c>
      <c r="F71" s="8" t="s">
        <v>569</v>
      </c>
      <c r="G71" s="35" t="s">
        <v>14</v>
      </c>
      <c r="H71" s="36"/>
      <c r="I71" s="37"/>
      <c r="J71" s="1"/>
      <c r="K71" s="44"/>
      <c r="L71" s="44"/>
      <c r="M71" s="44"/>
    </row>
    <row r="72" spans="1:13" ht="40.5" customHeight="1">
      <c r="A72" s="7">
        <v>13</v>
      </c>
      <c r="B72" s="9">
        <v>46629</v>
      </c>
      <c r="C72" s="9">
        <v>46635</v>
      </c>
      <c r="D72" s="27" t="s">
        <v>565</v>
      </c>
      <c r="E72" s="27">
        <v>4</v>
      </c>
      <c r="F72" s="8" t="s">
        <v>570</v>
      </c>
      <c r="G72" s="35" t="s">
        <v>14</v>
      </c>
      <c r="H72" s="36"/>
      <c r="I72" s="37"/>
      <c r="J72" s="1"/>
      <c r="K72" s="44"/>
      <c r="L72" s="44"/>
      <c r="M72" s="44"/>
    </row>
    <row r="73" spans="1:13" ht="40.5" customHeight="1">
      <c r="A73" s="7">
        <v>13</v>
      </c>
      <c r="B73" s="9">
        <v>46629</v>
      </c>
      <c r="C73" s="9">
        <v>46635</v>
      </c>
      <c r="D73" s="27" t="s">
        <v>565</v>
      </c>
      <c r="E73" s="27">
        <v>5</v>
      </c>
      <c r="F73" s="8" t="s">
        <v>571</v>
      </c>
      <c r="G73" s="35" t="s">
        <v>14</v>
      </c>
      <c r="H73" s="36"/>
      <c r="I73" s="37"/>
      <c r="J73" s="1"/>
      <c r="K73" s="44"/>
      <c r="L73" s="44"/>
      <c r="M73" s="44"/>
    </row>
    <row r="74" spans="1:13" ht="40.5" customHeight="1">
      <c r="A74" s="7">
        <v>14</v>
      </c>
      <c r="B74" s="9">
        <v>46636</v>
      </c>
      <c r="C74" s="9">
        <v>46642</v>
      </c>
      <c r="D74" s="27" t="s">
        <v>572</v>
      </c>
      <c r="E74" s="27">
        <v>1</v>
      </c>
      <c r="F74" s="8" t="s">
        <v>573</v>
      </c>
      <c r="G74" s="35" t="s">
        <v>14</v>
      </c>
      <c r="H74" s="36"/>
      <c r="I74" s="37"/>
      <c r="J74" s="1"/>
      <c r="K74" s="1"/>
      <c r="L74" s="1"/>
      <c r="M74" s="1"/>
    </row>
    <row r="75" spans="1:13" ht="40.5" customHeight="1">
      <c r="A75" s="7">
        <v>14</v>
      </c>
      <c r="B75" s="9">
        <v>46636</v>
      </c>
      <c r="C75" s="9">
        <v>46642</v>
      </c>
      <c r="D75" s="27" t="s">
        <v>572</v>
      </c>
      <c r="E75" s="27">
        <v>2</v>
      </c>
      <c r="F75" s="8" t="s">
        <v>574</v>
      </c>
      <c r="G75" s="35" t="s">
        <v>14</v>
      </c>
      <c r="H75" s="36"/>
      <c r="I75" s="37"/>
      <c r="J75" s="1"/>
      <c r="K75" s="46" t="s">
        <v>575</v>
      </c>
      <c r="L75" s="40"/>
      <c r="M75" s="40"/>
    </row>
    <row r="76" spans="1:13" ht="40.5" customHeight="1">
      <c r="A76" s="7">
        <v>14</v>
      </c>
      <c r="B76" s="9">
        <v>46636</v>
      </c>
      <c r="C76" s="9">
        <v>46642</v>
      </c>
      <c r="D76" s="27" t="s">
        <v>572</v>
      </c>
      <c r="E76" s="27">
        <v>3</v>
      </c>
      <c r="F76" s="8" t="s">
        <v>576</v>
      </c>
      <c r="G76" s="35" t="s">
        <v>14</v>
      </c>
      <c r="H76" s="36"/>
      <c r="I76" s="37"/>
      <c r="J76" s="1"/>
      <c r="K76" s="44" t="s">
        <v>577</v>
      </c>
      <c r="L76" s="44"/>
      <c r="M76" s="44"/>
    </row>
    <row r="77" spans="1:13" ht="40.5" customHeight="1">
      <c r="A77" s="7">
        <v>14</v>
      </c>
      <c r="B77" s="9">
        <v>46636</v>
      </c>
      <c r="C77" s="9">
        <v>46642</v>
      </c>
      <c r="D77" s="27" t="s">
        <v>572</v>
      </c>
      <c r="E77" s="27">
        <v>4</v>
      </c>
      <c r="F77" s="8" t="s">
        <v>578</v>
      </c>
      <c r="G77" s="35" t="s">
        <v>14</v>
      </c>
      <c r="H77" s="36"/>
      <c r="I77" s="37"/>
      <c r="J77" s="1"/>
      <c r="K77" s="44"/>
      <c r="L77" s="44"/>
      <c r="M77" s="44"/>
    </row>
    <row r="78" spans="1:13" ht="40.5" customHeight="1">
      <c r="A78" s="7">
        <v>14</v>
      </c>
      <c r="B78" s="9">
        <v>46636</v>
      </c>
      <c r="C78" s="9">
        <v>46642</v>
      </c>
      <c r="D78" s="27" t="s">
        <v>572</v>
      </c>
      <c r="E78" s="27">
        <v>5</v>
      </c>
      <c r="F78" s="8" t="s">
        <v>579</v>
      </c>
      <c r="G78" s="35" t="s">
        <v>14</v>
      </c>
      <c r="H78" s="36"/>
      <c r="I78" s="37"/>
      <c r="J78" s="1"/>
      <c r="K78" s="44"/>
      <c r="L78" s="44"/>
      <c r="M78" s="44"/>
    </row>
    <row r="79" spans="1:13" ht="40.5" customHeight="1">
      <c r="A79" s="7">
        <v>15</v>
      </c>
      <c r="B79" s="9">
        <v>46643</v>
      </c>
      <c r="C79" s="9">
        <v>46649</v>
      </c>
      <c r="D79" s="27" t="s">
        <v>580</v>
      </c>
      <c r="E79" s="27">
        <v>1</v>
      </c>
      <c r="F79" s="8" t="s">
        <v>581</v>
      </c>
      <c r="G79" s="35" t="s">
        <v>14</v>
      </c>
      <c r="H79" s="36"/>
      <c r="I79" s="37"/>
      <c r="J79" s="1"/>
      <c r="K79" s="44"/>
      <c r="L79" s="44"/>
      <c r="M79" s="44"/>
    </row>
    <row r="80" spans="1:13" ht="40.5" customHeight="1">
      <c r="A80" s="7">
        <v>15</v>
      </c>
      <c r="B80" s="9">
        <v>46643</v>
      </c>
      <c r="C80" s="9">
        <v>46649</v>
      </c>
      <c r="D80" s="27" t="s">
        <v>580</v>
      </c>
      <c r="E80" s="27">
        <v>2</v>
      </c>
      <c r="F80" s="8" t="s">
        <v>582</v>
      </c>
      <c r="G80" s="35" t="s">
        <v>14</v>
      </c>
      <c r="H80" s="36"/>
      <c r="I80" s="37"/>
      <c r="J80" s="1"/>
      <c r="K80" s="44"/>
      <c r="L80" s="44"/>
      <c r="M80" s="44"/>
    </row>
    <row r="81" spans="1:13" ht="40.5" customHeight="1">
      <c r="A81" s="7">
        <v>15</v>
      </c>
      <c r="B81" s="9">
        <v>46643</v>
      </c>
      <c r="C81" s="9">
        <v>46649</v>
      </c>
      <c r="D81" s="27" t="s">
        <v>580</v>
      </c>
      <c r="E81" s="27">
        <v>3</v>
      </c>
      <c r="F81" s="8" t="s">
        <v>583</v>
      </c>
      <c r="G81" s="35" t="s">
        <v>14</v>
      </c>
      <c r="H81" s="36"/>
      <c r="I81" s="37"/>
      <c r="J81" s="1"/>
      <c r="K81" s="1"/>
      <c r="L81" s="1"/>
      <c r="M81" s="1"/>
    </row>
    <row r="82" spans="1:13" ht="40.5" customHeight="1">
      <c r="A82" s="7">
        <v>15</v>
      </c>
      <c r="B82" s="9">
        <v>46643</v>
      </c>
      <c r="C82" s="9">
        <v>46649</v>
      </c>
      <c r="D82" s="27" t="s">
        <v>580</v>
      </c>
      <c r="E82" s="27">
        <v>4</v>
      </c>
      <c r="F82" s="8" t="s">
        <v>584</v>
      </c>
      <c r="G82" s="35" t="s">
        <v>14</v>
      </c>
      <c r="H82" s="36"/>
      <c r="I82" s="37"/>
      <c r="J82" s="1"/>
      <c r="K82" s="1"/>
      <c r="L82" s="1"/>
      <c r="M82" s="1"/>
    </row>
    <row r="83" spans="1:13" ht="40.5" customHeight="1">
      <c r="A83" s="7">
        <v>15</v>
      </c>
      <c r="B83" s="9">
        <v>46643</v>
      </c>
      <c r="C83" s="9">
        <v>46649</v>
      </c>
      <c r="D83" s="27" t="s">
        <v>580</v>
      </c>
      <c r="E83" s="27">
        <v>5</v>
      </c>
      <c r="F83" s="8" t="s">
        <v>585</v>
      </c>
      <c r="G83" s="35" t="s">
        <v>14</v>
      </c>
      <c r="H83" s="36"/>
      <c r="I83" s="37"/>
      <c r="J83" s="1"/>
      <c r="K83" s="1"/>
      <c r="L83" s="1"/>
      <c r="M83" s="1"/>
    </row>
    <row r="84" spans="1:13" ht="40.5" customHeight="1">
      <c r="A84" s="7">
        <v>16</v>
      </c>
      <c r="B84" s="9">
        <v>46650</v>
      </c>
      <c r="C84" s="9">
        <v>46656</v>
      </c>
      <c r="D84" s="27" t="s">
        <v>586</v>
      </c>
      <c r="E84" s="27">
        <v>1</v>
      </c>
      <c r="F84" s="8" t="s">
        <v>587</v>
      </c>
      <c r="G84" s="35" t="s">
        <v>14</v>
      </c>
      <c r="H84" s="36"/>
      <c r="I84" s="37"/>
      <c r="J84" s="1"/>
      <c r="K84" s="1"/>
      <c r="L84" s="1"/>
      <c r="M84" s="1"/>
    </row>
    <row r="85" spans="1:13" ht="40.5" customHeight="1">
      <c r="A85" s="7">
        <v>16</v>
      </c>
      <c r="B85" s="9">
        <v>46650</v>
      </c>
      <c r="C85" s="9">
        <v>46656</v>
      </c>
      <c r="D85" s="27" t="s">
        <v>586</v>
      </c>
      <c r="E85" s="27">
        <v>2</v>
      </c>
      <c r="F85" s="8" t="s">
        <v>588</v>
      </c>
      <c r="G85" s="35" t="s">
        <v>14</v>
      </c>
      <c r="H85" s="36"/>
      <c r="I85" s="37"/>
      <c r="J85" s="1"/>
      <c r="K85" s="1"/>
      <c r="L85" s="1"/>
      <c r="M85" s="1"/>
    </row>
    <row r="86" spans="1:13" ht="40.5" customHeight="1">
      <c r="A86" s="7">
        <v>16</v>
      </c>
      <c r="B86" s="9">
        <v>46650</v>
      </c>
      <c r="C86" s="9">
        <v>46656</v>
      </c>
      <c r="D86" s="27" t="s">
        <v>586</v>
      </c>
      <c r="E86" s="27">
        <v>3</v>
      </c>
      <c r="F86" s="8" t="s">
        <v>589</v>
      </c>
      <c r="G86" s="35" t="s">
        <v>14</v>
      </c>
      <c r="H86" s="36"/>
      <c r="I86" s="37"/>
      <c r="J86" s="1"/>
      <c r="K86" s="1"/>
      <c r="L86" s="1"/>
      <c r="M86" s="1"/>
    </row>
    <row r="87" spans="1:13" ht="40.5" customHeight="1">
      <c r="A87" s="7">
        <v>16</v>
      </c>
      <c r="B87" s="9">
        <v>46650</v>
      </c>
      <c r="C87" s="9">
        <v>46656</v>
      </c>
      <c r="D87" s="27" t="s">
        <v>586</v>
      </c>
      <c r="E87" s="27">
        <v>4</v>
      </c>
      <c r="F87" s="8" t="s">
        <v>590</v>
      </c>
      <c r="G87" s="35" t="s">
        <v>14</v>
      </c>
      <c r="H87" s="36"/>
      <c r="I87" s="37"/>
      <c r="J87" s="1"/>
      <c r="K87" s="1"/>
      <c r="L87" s="1"/>
      <c r="M87" s="1"/>
    </row>
    <row r="88" spans="1:13" ht="40.5" customHeight="1">
      <c r="A88" s="7">
        <v>16</v>
      </c>
      <c r="B88" s="9">
        <v>46650</v>
      </c>
      <c r="C88" s="9">
        <v>46656</v>
      </c>
      <c r="D88" s="27" t="s">
        <v>586</v>
      </c>
      <c r="E88" s="27">
        <v>5</v>
      </c>
      <c r="F88" s="8" t="s">
        <v>591</v>
      </c>
      <c r="G88" s="35" t="s">
        <v>14</v>
      </c>
      <c r="H88" s="36"/>
      <c r="I88" s="37"/>
      <c r="J88" s="1"/>
      <c r="K88" s="1"/>
      <c r="L88" s="1"/>
      <c r="M88" s="1"/>
    </row>
    <row r="89" spans="1:13" ht="40.5" customHeight="1">
      <c r="A89" s="7">
        <v>17</v>
      </c>
      <c r="B89" s="9">
        <v>46657</v>
      </c>
      <c r="C89" s="9">
        <v>46663</v>
      </c>
      <c r="D89" s="27" t="s">
        <v>592</v>
      </c>
      <c r="E89" s="27">
        <v>1</v>
      </c>
      <c r="F89" s="8" t="s">
        <v>593</v>
      </c>
      <c r="G89" s="35" t="s">
        <v>14</v>
      </c>
      <c r="H89" s="36"/>
      <c r="I89" s="37"/>
      <c r="J89" s="1"/>
      <c r="K89" s="1"/>
      <c r="L89" s="1"/>
      <c r="M89" s="1"/>
    </row>
    <row r="90" spans="1:13" ht="40.5" customHeight="1">
      <c r="A90" s="7">
        <v>17</v>
      </c>
      <c r="B90" s="9">
        <v>46657</v>
      </c>
      <c r="C90" s="9">
        <v>46663</v>
      </c>
      <c r="D90" s="27" t="s">
        <v>592</v>
      </c>
      <c r="E90" s="27">
        <v>2</v>
      </c>
      <c r="F90" s="8" t="s">
        <v>594</v>
      </c>
      <c r="G90" s="35" t="s">
        <v>14</v>
      </c>
      <c r="H90" s="36"/>
      <c r="I90" s="37"/>
      <c r="J90" s="1"/>
      <c r="K90" s="1"/>
      <c r="L90" s="1"/>
      <c r="M90" s="1"/>
    </row>
    <row r="91" spans="1:13" ht="40.5" customHeight="1">
      <c r="A91" s="7">
        <v>17</v>
      </c>
      <c r="B91" s="9">
        <v>46657</v>
      </c>
      <c r="C91" s="9">
        <v>46663</v>
      </c>
      <c r="D91" s="27" t="s">
        <v>592</v>
      </c>
      <c r="E91" s="27">
        <v>3</v>
      </c>
      <c r="F91" s="8" t="s">
        <v>595</v>
      </c>
      <c r="G91" s="35" t="s">
        <v>14</v>
      </c>
      <c r="H91" s="36"/>
      <c r="I91" s="37"/>
      <c r="J91" s="1"/>
      <c r="K91" s="1"/>
      <c r="L91" s="1"/>
      <c r="M91" s="1"/>
    </row>
    <row r="92" spans="1:13" ht="40.5" customHeight="1">
      <c r="A92" s="7">
        <v>17</v>
      </c>
      <c r="B92" s="9">
        <v>46657</v>
      </c>
      <c r="C92" s="9">
        <v>46663</v>
      </c>
      <c r="D92" s="27" t="s">
        <v>592</v>
      </c>
      <c r="E92" s="27">
        <v>4</v>
      </c>
      <c r="F92" s="8" t="s">
        <v>596</v>
      </c>
      <c r="G92" s="35" t="s">
        <v>14</v>
      </c>
      <c r="H92" s="36"/>
      <c r="I92" s="37"/>
      <c r="J92" s="1"/>
      <c r="K92" s="1"/>
      <c r="L92" s="1"/>
      <c r="M92" s="1"/>
    </row>
    <row r="93" spans="1:13" ht="40.5" customHeight="1">
      <c r="A93" s="7">
        <v>17</v>
      </c>
      <c r="B93" s="9">
        <v>46657</v>
      </c>
      <c r="C93" s="9">
        <v>46663</v>
      </c>
      <c r="D93" s="27" t="s">
        <v>592</v>
      </c>
      <c r="E93" s="27">
        <v>5</v>
      </c>
      <c r="F93" s="8" t="s">
        <v>597</v>
      </c>
      <c r="G93" s="35" t="s">
        <v>14</v>
      </c>
      <c r="H93" s="36"/>
      <c r="I93" s="37"/>
      <c r="J93" s="1"/>
      <c r="K93" s="1"/>
      <c r="L93" s="1"/>
      <c r="M93" s="1"/>
    </row>
    <row r="94" spans="1:13" ht="40.5" customHeight="1">
      <c r="A94" s="7">
        <v>18</v>
      </c>
      <c r="B94" s="9">
        <v>46664</v>
      </c>
      <c r="C94" s="9">
        <v>46670</v>
      </c>
      <c r="D94" s="27" t="s">
        <v>598</v>
      </c>
      <c r="E94" s="27">
        <v>1</v>
      </c>
      <c r="F94" s="8" t="s">
        <v>599</v>
      </c>
      <c r="G94" s="35" t="s">
        <v>14</v>
      </c>
      <c r="H94" s="36"/>
      <c r="I94" s="37"/>
      <c r="J94" s="1"/>
      <c r="K94" s="1"/>
      <c r="L94" s="1"/>
      <c r="M94" s="1"/>
    </row>
    <row r="95" spans="1:13" ht="40.5" customHeight="1">
      <c r="A95" s="7">
        <v>18</v>
      </c>
      <c r="B95" s="9">
        <v>46664</v>
      </c>
      <c r="C95" s="9">
        <v>46670</v>
      </c>
      <c r="D95" s="27" t="s">
        <v>598</v>
      </c>
      <c r="E95" s="27">
        <v>2</v>
      </c>
      <c r="F95" s="8" t="s">
        <v>600</v>
      </c>
      <c r="G95" s="35" t="s">
        <v>14</v>
      </c>
      <c r="H95" s="36"/>
      <c r="I95" s="37"/>
      <c r="J95" s="1"/>
      <c r="K95" s="1"/>
      <c r="L95" s="1"/>
      <c r="M95" s="1"/>
    </row>
    <row r="96" spans="1:13" ht="40.5" customHeight="1">
      <c r="A96" s="7">
        <v>18</v>
      </c>
      <c r="B96" s="9">
        <v>46664</v>
      </c>
      <c r="C96" s="9">
        <v>46670</v>
      </c>
      <c r="D96" s="27" t="s">
        <v>598</v>
      </c>
      <c r="E96" s="27">
        <v>3</v>
      </c>
      <c r="F96" s="8" t="s">
        <v>601</v>
      </c>
      <c r="G96" s="35" t="s">
        <v>14</v>
      </c>
      <c r="H96" s="36"/>
      <c r="I96" s="37"/>
      <c r="J96" s="1"/>
      <c r="K96" s="1"/>
      <c r="L96" s="1"/>
      <c r="M96" s="1"/>
    </row>
    <row r="97" spans="1:13" ht="40.5" customHeight="1">
      <c r="A97" s="7">
        <v>18</v>
      </c>
      <c r="B97" s="9">
        <v>46664</v>
      </c>
      <c r="C97" s="9">
        <v>46670</v>
      </c>
      <c r="D97" s="27" t="s">
        <v>598</v>
      </c>
      <c r="E97" s="27">
        <v>4</v>
      </c>
      <c r="F97" s="8" t="s">
        <v>602</v>
      </c>
      <c r="G97" s="35" t="s">
        <v>14</v>
      </c>
      <c r="H97" s="36"/>
      <c r="I97" s="37"/>
      <c r="J97" s="1"/>
      <c r="K97" s="1"/>
      <c r="L97" s="1"/>
      <c r="M97" s="1"/>
    </row>
    <row r="98" spans="1:13" ht="40.5" customHeight="1">
      <c r="A98" s="7">
        <v>18</v>
      </c>
      <c r="B98" s="9">
        <v>46664</v>
      </c>
      <c r="C98" s="9">
        <v>46670</v>
      </c>
      <c r="D98" s="27" t="s">
        <v>598</v>
      </c>
      <c r="E98" s="27">
        <v>5</v>
      </c>
      <c r="F98" s="8" t="s">
        <v>603</v>
      </c>
      <c r="G98" s="35" t="s">
        <v>14</v>
      </c>
      <c r="H98" s="36"/>
      <c r="I98" s="37"/>
      <c r="J98" s="1"/>
      <c r="K98" s="1"/>
      <c r="L98" s="1"/>
      <c r="M98" s="1"/>
    </row>
    <row r="99" spans="1:13" ht="40.5" customHeight="1">
      <c r="A99" s="7">
        <v>19</v>
      </c>
      <c r="B99" s="9">
        <v>46671</v>
      </c>
      <c r="C99" s="9">
        <v>46677</v>
      </c>
      <c r="D99" s="27" t="s">
        <v>604</v>
      </c>
      <c r="E99" s="27">
        <v>1</v>
      </c>
      <c r="F99" s="8" t="s">
        <v>605</v>
      </c>
      <c r="G99" s="35" t="s">
        <v>14</v>
      </c>
      <c r="H99" s="36"/>
      <c r="I99" s="37"/>
      <c r="J99" s="1"/>
      <c r="K99" s="1"/>
      <c r="L99" s="1"/>
      <c r="M99" s="1"/>
    </row>
    <row r="100" spans="1:13" ht="40.5" customHeight="1">
      <c r="A100" s="7">
        <v>19</v>
      </c>
      <c r="B100" s="9">
        <v>46671</v>
      </c>
      <c r="C100" s="9">
        <v>46677</v>
      </c>
      <c r="D100" s="27" t="s">
        <v>604</v>
      </c>
      <c r="E100" s="27">
        <v>2</v>
      </c>
      <c r="F100" s="8" t="s">
        <v>606</v>
      </c>
      <c r="G100" s="35" t="s">
        <v>14</v>
      </c>
      <c r="H100" s="36"/>
      <c r="I100" s="37"/>
      <c r="J100" s="1"/>
      <c r="K100" s="1"/>
      <c r="L100" s="1"/>
      <c r="M100" s="1"/>
    </row>
    <row r="101" spans="1:13" ht="40.5" customHeight="1">
      <c r="A101" s="7">
        <v>19</v>
      </c>
      <c r="B101" s="9">
        <v>46671</v>
      </c>
      <c r="C101" s="9">
        <v>46677</v>
      </c>
      <c r="D101" s="27" t="s">
        <v>604</v>
      </c>
      <c r="E101" s="27">
        <v>3</v>
      </c>
      <c r="F101" s="8" t="s">
        <v>607</v>
      </c>
      <c r="G101" s="35" t="s">
        <v>14</v>
      </c>
      <c r="H101" s="36"/>
      <c r="I101" s="37"/>
      <c r="J101" s="1"/>
      <c r="K101" s="1"/>
      <c r="L101" s="1"/>
      <c r="M101" s="1"/>
    </row>
    <row r="102" spans="1:13" ht="40.5" customHeight="1">
      <c r="A102" s="7">
        <v>19</v>
      </c>
      <c r="B102" s="9">
        <v>46671</v>
      </c>
      <c r="C102" s="9">
        <v>46677</v>
      </c>
      <c r="D102" s="27" t="s">
        <v>604</v>
      </c>
      <c r="E102" s="27">
        <v>4</v>
      </c>
      <c r="F102" s="8" t="s">
        <v>608</v>
      </c>
      <c r="G102" s="35" t="s">
        <v>14</v>
      </c>
      <c r="H102" s="36"/>
      <c r="I102" s="37"/>
      <c r="J102" s="1"/>
      <c r="K102" s="1"/>
      <c r="L102" s="1"/>
      <c r="M102" s="1"/>
    </row>
    <row r="103" spans="1:13" ht="40.5" customHeight="1">
      <c r="A103" s="7">
        <v>19</v>
      </c>
      <c r="B103" s="9">
        <v>46671</v>
      </c>
      <c r="C103" s="9">
        <v>46677</v>
      </c>
      <c r="D103" s="27" t="s">
        <v>604</v>
      </c>
      <c r="E103" s="27">
        <v>5</v>
      </c>
      <c r="F103" s="8" t="s">
        <v>609</v>
      </c>
      <c r="G103" s="35" t="s">
        <v>14</v>
      </c>
      <c r="H103" s="36"/>
      <c r="I103" s="37"/>
      <c r="J103" s="1"/>
      <c r="K103" s="1"/>
      <c r="L103" s="1"/>
      <c r="M103" s="1"/>
    </row>
    <row r="104" spans="1:13" ht="40.5" customHeight="1">
      <c r="A104" s="7">
        <v>20</v>
      </c>
      <c r="B104" s="9">
        <v>46678</v>
      </c>
      <c r="C104" s="9">
        <v>46684</v>
      </c>
      <c r="D104" s="27" t="s">
        <v>610</v>
      </c>
      <c r="E104" s="27">
        <v>1</v>
      </c>
      <c r="F104" s="8" t="s">
        <v>611</v>
      </c>
      <c r="G104" s="35" t="s">
        <v>14</v>
      </c>
      <c r="H104" s="36"/>
      <c r="I104" s="37"/>
      <c r="J104" s="1"/>
      <c r="K104" s="1"/>
      <c r="L104" s="1"/>
      <c r="M104" s="1"/>
    </row>
    <row r="105" spans="1:13" ht="40.5" customHeight="1">
      <c r="A105" s="7">
        <v>20</v>
      </c>
      <c r="B105" s="9">
        <v>46678</v>
      </c>
      <c r="C105" s="9">
        <v>46684</v>
      </c>
      <c r="D105" s="27" t="s">
        <v>610</v>
      </c>
      <c r="E105" s="27">
        <v>2</v>
      </c>
      <c r="F105" s="8" t="s">
        <v>612</v>
      </c>
      <c r="G105" s="35" t="s">
        <v>14</v>
      </c>
      <c r="H105" s="36"/>
      <c r="I105" s="37"/>
      <c r="J105" s="1"/>
      <c r="K105" s="1"/>
      <c r="L105" s="1"/>
      <c r="M105" s="1"/>
    </row>
    <row r="106" spans="1:13" ht="40.5" customHeight="1">
      <c r="A106" s="7">
        <v>20</v>
      </c>
      <c r="B106" s="9">
        <v>46678</v>
      </c>
      <c r="C106" s="9">
        <v>46684</v>
      </c>
      <c r="D106" s="27" t="s">
        <v>610</v>
      </c>
      <c r="E106" s="27">
        <v>3</v>
      </c>
      <c r="F106" s="8" t="s">
        <v>613</v>
      </c>
      <c r="G106" s="35" t="s">
        <v>14</v>
      </c>
      <c r="H106" s="36"/>
      <c r="I106" s="37"/>
      <c r="J106" s="1"/>
      <c r="K106" s="1"/>
      <c r="L106" s="1"/>
      <c r="M106" s="1"/>
    </row>
    <row r="107" spans="1:13" ht="40.5" customHeight="1">
      <c r="A107" s="7">
        <v>20</v>
      </c>
      <c r="B107" s="9">
        <v>46678</v>
      </c>
      <c r="C107" s="9">
        <v>46684</v>
      </c>
      <c r="D107" s="27" t="s">
        <v>610</v>
      </c>
      <c r="E107" s="27">
        <v>4</v>
      </c>
      <c r="F107" s="8" t="s">
        <v>614</v>
      </c>
      <c r="G107" s="35" t="s">
        <v>14</v>
      </c>
      <c r="H107" s="36"/>
      <c r="I107" s="37"/>
      <c r="J107" s="1"/>
      <c r="K107" s="1"/>
      <c r="L107" s="1"/>
      <c r="M107" s="1"/>
    </row>
    <row r="108" spans="1:13" ht="40.5" customHeight="1">
      <c r="A108" s="7">
        <v>20</v>
      </c>
      <c r="B108" s="9">
        <v>46678</v>
      </c>
      <c r="C108" s="9">
        <v>46684</v>
      </c>
      <c r="D108" s="27" t="s">
        <v>610</v>
      </c>
      <c r="E108" s="27">
        <v>5</v>
      </c>
      <c r="F108" s="8" t="s">
        <v>615</v>
      </c>
      <c r="G108" s="35" t="s">
        <v>14</v>
      </c>
      <c r="H108" s="36"/>
      <c r="I108" s="37"/>
      <c r="J108" s="1"/>
      <c r="K108" s="1"/>
      <c r="L108" s="1"/>
      <c r="M108" s="1"/>
    </row>
    <row r="109" spans="1:13" ht="40.5" customHeight="1">
      <c r="A109" s="7">
        <v>21</v>
      </c>
      <c r="B109" s="9">
        <v>46685</v>
      </c>
      <c r="C109" s="9">
        <v>46691</v>
      </c>
      <c r="D109" s="27" t="s">
        <v>616</v>
      </c>
      <c r="E109" s="27">
        <v>1</v>
      </c>
      <c r="F109" s="8" t="s">
        <v>617</v>
      </c>
      <c r="G109" s="35" t="s">
        <v>14</v>
      </c>
      <c r="H109" s="36"/>
      <c r="I109" s="37"/>
      <c r="J109" s="1"/>
      <c r="K109" s="1"/>
      <c r="L109" s="1"/>
      <c r="M109" s="1"/>
    </row>
    <row r="110" spans="1:13" ht="40.5" customHeight="1">
      <c r="A110" s="7">
        <v>21</v>
      </c>
      <c r="B110" s="9">
        <v>46685</v>
      </c>
      <c r="C110" s="9">
        <v>46691</v>
      </c>
      <c r="D110" s="27" t="s">
        <v>616</v>
      </c>
      <c r="E110" s="27">
        <v>2</v>
      </c>
      <c r="F110" s="8" t="s">
        <v>618</v>
      </c>
      <c r="G110" s="35" t="s">
        <v>14</v>
      </c>
      <c r="H110" s="36"/>
      <c r="I110" s="37"/>
      <c r="J110" s="1"/>
      <c r="K110" s="1"/>
      <c r="L110" s="1"/>
      <c r="M110" s="1"/>
    </row>
    <row r="111" spans="1:13" ht="40.5" customHeight="1">
      <c r="A111" s="7">
        <v>21</v>
      </c>
      <c r="B111" s="9">
        <v>46685</v>
      </c>
      <c r="C111" s="9">
        <v>46691</v>
      </c>
      <c r="D111" s="27" t="s">
        <v>616</v>
      </c>
      <c r="E111" s="27">
        <v>3</v>
      </c>
      <c r="F111" s="8" t="s">
        <v>619</v>
      </c>
      <c r="G111" s="35" t="s">
        <v>14</v>
      </c>
      <c r="H111" s="36"/>
      <c r="I111" s="37"/>
      <c r="J111" s="1"/>
      <c r="K111" s="1"/>
      <c r="L111" s="1"/>
      <c r="M111" s="1"/>
    </row>
    <row r="112" spans="1:13" ht="40.5" customHeight="1">
      <c r="A112" s="7">
        <v>21</v>
      </c>
      <c r="B112" s="9">
        <v>46685</v>
      </c>
      <c r="C112" s="9">
        <v>46691</v>
      </c>
      <c r="D112" s="27" t="s">
        <v>616</v>
      </c>
      <c r="E112" s="27">
        <v>4</v>
      </c>
      <c r="F112" s="8" t="s">
        <v>620</v>
      </c>
      <c r="G112" s="35" t="s">
        <v>14</v>
      </c>
      <c r="H112" s="36"/>
      <c r="I112" s="37"/>
      <c r="J112" s="1"/>
      <c r="K112" s="1"/>
      <c r="L112" s="1"/>
      <c r="M112" s="1"/>
    </row>
    <row r="113" spans="1:13" ht="40.5" customHeight="1">
      <c r="A113" s="7">
        <v>21</v>
      </c>
      <c r="B113" s="9">
        <v>46685</v>
      </c>
      <c r="C113" s="9">
        <v>46691</v>
      </c>
      <c r="D113" s="27" t="s">
        <v>616</v>
      </c>
      <c r="E113" s="27">
        <v>5</v>
      </c>
      <c r="F113" s="8" t="s">
        <v>621</v>
      </c>
      <c r="G113" s="35" t="s">
        <v>14</v>
      </c>
      <c r="H113" s="36"/>
      <c r="I113" s="37"/>
      <c r="J113" s="1"/>
      <c r="K113" s="1"/>
      <c r="L113" s="1"/>
      <c r="M113" s="1"/>
    </row>
    <row r="114" spans="1:13" ht="40.5" customHeight="1">
      <c r="A114" s="7">
        <v>22</v>
      </c>
      <c r="B114" s="9">
        <v>46692</v>
      </c>
      <c r="C114" s="9">
        <v>46698</v>
      </c>
      <c r="D114" s="27" t="s">
        <v>622</v>
      </c>
      <c r="E114" s="27">
        <v>1</v>
      </c>
      <c r="F114" s="8" t="s">
        <v>623</v>
      </c>
      <c r="G114" s="35" t="s">
        <v>14</v>
      </c>
      <c r="H114" s="36"/>
      <c r="I114" s="37"/>
      <c r="J114" s="1"/>
      <c r="K114" s="1"/>
      <c r="L114" s="1"/>
      <c r="M114" s="1"/>
    </row>
    <row r="115" spans="1:13" ht="40.5" customHeight="1">
      <c r="A115" s="7">
        <v>22</v>
      </c>
      <c r="B115" s="9">
        <v>46692</v>
      </c>
      <c r="C115" s="9">
        <v>46698</v>
      </c>
      <c r="D115" s="27" t="s">
        <v>622</v>
      </c>
      <c r="E115" s="27">
        <v>2</v>
      </c>
      <c r="F115" s="8" t="s">
        <v>624</v>
      </c>
      <c r="G115" s="35" t="s">
        <v>14</v>
      </c>
      <c r="H115" s="36"/>
      <c r="I115" s="37"/>
      <c r="J115" s="1"/>
      <c r="K115" s="1"/>
      <c r="L115" s="1"/>
      <c r="M115" s="1"/>
    </row>
    <row r="116" spans="1:13" ht="40.5" customHeight="1">
      <c r="A116" s="7">
        <v>22</v>
      </c>
      <c r="B116" s="9">
        <v>46692</v>
      </c>
      <c r="C116" s="9">
        <v>46698</v>
      </c>
      <c r="D116" s="27" t="s">
        <v>622</v>
      </c>
      <c r="E116" s="27">
        <v>3</v>
      </c>
      <c r="F116" s="8" t="s">
        <v>625</v>
      </c>
      <c r="G116" s="35" t="s">
        <v>14</v>
      </c>
      <c r="H116" s="36"/>
      <c r="I116" s="37"/>
      <c r="J116" s="1"/>
      <c r="K116" s="1"/>
      <c r="L116" s="1"/>
      <c r="M116" s="1"/>
    </row>
    <row r="117" spans="1:13" ht="40.5" customHeight="1">
      <c r="A117" s="7">
        <v>22</v>
      </c>
      <c r="B117" s="9">
        <v>46692</v>
      </c>
      <c r="C117" s="9">
        <v>46698</v>
      </c>
      <c r="D117" s="27" t="s">
        <v>622</v>
      </c>
      <c r="E117" s="27">
        <v>4</v>
      </c>
      <c r="F117" s="8" t="s">
        <v>626</v>
      </c>
      <c r="G117" s="35" t="s">
        <v>14</v>
      </c>
      <c r="H117" s="36"/>
      <c r="I117" s="37"/>
      <c r="J117" s="1"/>
      <c r="K117" s="1"/>
      <c r="L117" s="1"/>
      <c r="M117" s="1"/>
    </row>
    <row r="118" spans="1:13" ht="40.5" customHeight="1">
      <c r="A118" s="7">
        <v>22</v>
      </c>
      <c r="B118" s="9">
        <v>46692</v>
      </c>
      <c r="C118" s="9">
        <v>46698</v>
      </c>
      <c r="D118" s="27" t="s">
        <v>622</v>
      </c>
      <c r="E118" s="27">
        <v>5</v>
      </c>
      <c r="F118" s="8" t="s">
        <v>627</v>
      </c>
      <c r="G118" s="35" t="s">
        <v>14</v>
      </c>
      <c r="H118" s="36"/>
      <c r="I118" s="37"/>
      <c r="J118" s="1"/>
      <c r="K118" s="1"/>
      <c r="L118" s="1"/>
      <c r="M118" s="1"/>
    </row>
    <row r="119" spans="1:13" ht="40.5" customHeight="1">
      <c r="A119" s="7">
        <v>23</v>
      </c>
      <c r="B119" s="9">
        <v>46699</v>
      </c>
      <c r="C119" s="9">
        <v>46705</v>
      </c>
      <c r="D119" s="27" t="s">
        <v>628</v>
      </c>
      <c r="E119" s="27">
        <v>1</v>
      </c>
      <c r="F119" s="8" t="s">
        <v>629</v>
      </c>
      <c r="G119" s="35" t="s">
        <v>14</v>
      </c>
      <c r="H119" s="36"/>
      <c r="I119" s="37"/>
      <c r="J119" s="1"/>
      <c r="K119" s="1"/>
      <c r="L119" s="1"/>
      <c r="M119" s="1"/>
    </row>
    <row r="120" spans="1:13" ht="40.5" customHeight="1">
      <c r="A120" s="7">
        <v>23</v>
      </c>
      <c r="B120" s="9">
        <v>46699</v>
      </c>
      <c r="C120" s="9">
        <v>46705</v>
      </c>
      <c r="D120" s="27" t="s">
        <v>628</v>
      </c>
      <c r="E120" s="27">
        <v>2</v>
      </c>
      <c r="F120" s="8" t="s">
        <v>630</v>
      </c>
      <c r="G120" s="35" t="s">
        <v>14</v>
      </c>
      <c r="H120" s="36"/>
      <c r="I120" s="37"/>
      <c r="J120" s="1"/>
      <c r="K120" s="1"/>
      <c r="L120" s="1"/>
      <c r="M120" s="1"/>
    </row>
    <row r="121" spans="1:13" ht="40.5" customHeight="1">
      <c r="A121" s="7">
        <v>23</v>
      </c>
      <c r="B121" s="9">
        <v>46699</v>
      </c>
      <c r="C121" s="9">
        <v>46705</v>
      </c>
      <c r="D121" s="27" t="s">
        <v>628</v>
      </c>
      <c r="E121" s="27">
        <v>3</v>
      </c>
      <c r="F121" s="8" t="s">
        <v>631</v>
      </c>
      <c r="G121" s="35" t="s">
        <v>14</v>
      </c>
      <c r="H121" s="36"/>
      <c r="I121" s="37"/>
      <c r="J121" s="1"/>
      <c r="K121" s="1"/>
      <c r="L121" s="1"/>
      <c r="M121" s="1"/>
    </row>
    <row r="122" spans="1:13" ht="40.5" customHeight="1">
      <c r="A122" s="7">
        <v>23</v>
      </c>
      <c r="B122" s="9">
        <v>46699</v>
      </c>
      <c r="C122" s="9">
        <v>46705</v>
      </c>
      <c r="D122" s="27" t="s">
        <v>628</v>
      </c>
      <c r="E122" s="27">
        <v>4</v>
      </c>
      <c r="F122" s="8" t="s">
        <v>632</v>
      </c>
      <c r="G122" s="35" t="s">
        <v>14</v>
      </c>
      <c r="H122" s="36"/>
      <c r="I122" s="37"/>
      <c r="J122" s="1"/>
      <c r="K122" s="1"/>
      <c r="L122" s="1"/>
      <c r="M122" s="1"/>
    </row>
    <row r="123" spans="1:13" ht="40.5" customHeight="1">
      <c r="A123" s="7">
        <v>23</v>
      </c>
      <c r="B123" s="9">
        <v>46699</v>
      </c>
      <c r="C123" s="9">
        <v>46705</v>
      </c>
      <c r="D123" s="27" t="s">
        <v>628</v>
      </c>
      <c r="E123" s="27">
        <v>5</v>
      </c>
      <c r="F123" s="8" t="s">
        <v>633</v>
      </c>
      <c r="G123" s="35" t="s">
        <v>14</v>
      </c>
      <c r="H123" s="36"/>
      <c r="I123" s="37"/>
      <c r="J123" s="1"/>
      <c r="K123" s="1"/>
      <c r="L123" s="1"/>
      <c r="M123" s="1"/>
    </row>
    <row r="124" spans="1:13" ht="40.5" customHeight="1">
      <c r="A124" s="7">
        <v>24</v>
      </c>
      <c r="B124" s="9">
        <v>46706</v>
      </c>
      <c r="C124" s="9">
        <v>46712</v>
      </c>
      <c r="D124" s="27" t="s">
        <v>634</v>
      </c>
      <c r="E124" s="27">
        <v>1</v>
      </c>
      <c r="F124" s="8" t="s">
        <v>635</v>
      </c>
      <c r="G124" s="35" t="s">
        <v>14</v>
      </c>
      <c r="H124" s="36"/>
      <c r="I124" s="37"/>
      <c r="J124" s="1"/>
      <c r="K124" s="1"/>
      <c r="L124" s="1"/>
      <c r="M124" s="1"/>
    </row>
    <row r="125" spans="1:13" ht="40.5" customHeight="1">
      <c r="A125" s="7">
        <v>24</v>
      </c>
      <c r="B125" s="9">
        <v>46706</v>
      </c>
      <c r="C125" s="9">
        <v>46712</v>
      </c>
      <c r="D125" s="27" t="s">
        <v>634</v>
      </c>
      <c r="E125" s="27">
        <v>2</v>
      </c>
      <c r="F125" s="8" t="s">
        <v>636</v>
      </c>
      <c r="G125" s="35" t="s">
        <v>14</v>
      </c>
      <c r="H125" s="36"/>
      <c r="I125" s="37"/>
      <c r="J125" s="1"/>
      <c r="K125" s="1"/>
      <c r="L125" s="1"/>
      <c r="M125" s="1"/>
    </row>
    <row r="126" spans="1:13" ht="40.5" customHeight="1">
      <c r="A126" s="7">
        <v>24</v>
      </c>
      <c r="B126" s="9">
        <v>46706</v>
      </c>
      <c r="C126" s="9">
        <v>46712</v>
      </c>
      <c r="D126" s="27" t="s">
        <v>634</v>
      </c>
      <c r="E126" s="27">
        <v>3</v>
      </c>
      <c r="F126" s="8" t="s">
        <v>637</v>
      </c>
      <c r="G126" s="35" t="s">
        <v>14</v>
      </c>
      <c r="H126" s="36"/>
      <c r="I126" s="37"/>
      <c r="J126" s="1"/>
      <c r="K126" s="1"/>
      <c r="L126" s="1"/>
      <c r="M126" s="1"/>
    </row>
    <row r="127" spans="1:13" ht="40.5" customHeight="1">
      <c r="A127" s="7">
        <v>24</v>
      </c>
      <c r="B127" s="9">
        <v>46706</v>
      </c>
      <c r="C127" s="9">
        <v>46712</v>
      </c>
      <c r="D127" s="27" t="s">
        <v>634</v>
      </c>
      <c r="E127" s="27">
        <v>4</v>
      </c>
      <c r="F127" s="8" t="s">
        <v>638</v>
      </c>
      <c r="G127" s="35" t="s">
        <v>14</v>
      </c>
      <c r="H127" s="36"/>
      <c r="I127" s="37"/>
      <c r="J127" s="1"/>
      <c r="K127" s="1"/>
      <c r="L127" s="1"/>
      <c r="M127" s="1"/>
    </row>
    <row r="128" spans="1:13" ht="40.5" customHeight="1">
      <c r="A128" s="7">
        <v>24</v>
      </c>
      <c r="B128" s="9">
        <v>46706</v>
      </c>
      <c r="C128" s="9">
        <v>46712</v>
      </c>
      <c r="D128" s="27" t="s">
        <v>634</v>
      </c>
      <c r="E128" s="27">
        <v>5</v>
      </c>
      <c r="F128" s="8" t="s">
        <v>633</v>
      </c>
      <c r="G128" s="35" t="s">
        <v>14</v>
      </c>
      <c r="H128" s="36"/>
      <c r="I128" s="37"/>
      <c r="J128" s="1"/>
      <c r="K128" s="1"/>
      <c r="L128" s="1"/>
      <c r="M128" s="1"/>
    </row>
    <row r="129" spans="1:13" ht="40.5" customHeight="1">
      <c r="A129" s="7">
        <v>25</v>
      </c>
      <c r="B129" s="9">
        <v>46713</v>
      </c>
      <c r="C129" s="9">
        <v>46719</v>
      </c>
      <c r="D129" s="27" t="s">
        <v>639</v>
      </c>
      <c r="E129" s="27">
        <v>1</v>
      </c>
      <c r="F129" s="8" t="s">
        <v>640</v>
      </c>
      <c r="G129" s="35" t="s">
        <v>14</v>
      </c>
      <c r="H129" s="36"/>
      <c r="I129" s="37"/>
      <c r="J129" s="1"/>
      <c r="K129" s="1"/>
      <c r="L129" s="1"/>
      <c r="M129" s="1"/>
    </row>
    <row r="130" spans="1:13" ht="40.5" customHeight="1">
      <c r="A130" s="7">
        <v>25</v>
      </c>
      <c r="B130" s="9">
        <v>46713</v>
      </c>
      <c r="C130" s="9">
        <v>46719</v>
      </c>
      <c r="D130" s="27" t="s">
        <v>639</v>
      </c>
      <c r="E130" s="27">
        <v>2</v>
      </c>
      <c r="F130" s="8" t="s">
        <v>641</v>
      </c>
      <c r="G130" s="35" t="s">
        <v>14</v>
      </c>
      <c r="H130" s="36"/>
      <c r="I130" s="37"/>
      <c r="J130" s="1"/>
      <c r="K130" s="1"/>
      <c r="L130" s="1"/>
      <c r="M130" s="1"/>
    </row>
    <row r="131" spans="1:13" ht="40.5" customHeight="1">
      <c r="A131" s="7">
        <v>25</v>
      </c>
      <c r="B131" s="9">
        <v>46713</v>
      </c>
      <c r="C131" s="9">
        <v>46719</v>
      </c>
      <c r="D131" s="27" t="s">
        <v>639</v>
      </c>
      <c r="E131" s="27">
        <v>3</v>
      </c>
      <c r="F131" s="8" t="s">
        <v>642</v>
      </c>
      <c r="G131" s="35" t="s">
        <v>14</v>
      </c>
      <c r="H131" s="36"/>
      <c r="I131" s="37"/>
      <c r="J131" s="1"/>
      <c r="K131" s="1"/>
      <c r="L131" s="1"/>
      <c r="M131" s="1"/>
    </row>
    <row r="132" spans="1:13" ht="40.5" customHeight="1">
      <c r="A132" s="7">
        <v>25</v>
      </c>
      <c r="B132" s="9">
        <v>46713</v>
      </c>
      <c r="C132" s="9">
        <v>46719</v>
      </c>
      <c r="D132" s="27" t="s">
        <v>639</v>
      </c>
      <c r="E132" s="27">
        <v>4</v>
      </c>
      <c r="F132" s="8" t="s">
        <v>643</v>
      </c>
      <c r="G132" s="35" t="s">
        <v>14</v>
      </c>
      <c r="H132" s="36"/>
      <c r="I132" s="37"/>
      <c r="J132" s="1"/>
      <c r="K132" s="1"/>
      <c r="L132" s="1"/>
      <c r="M132" s="1"/>
    </row>
    <row r="133" spans="1:13" ht="40.5" customHeight="1">
      <c r="A133" s="7">
        <v>25</v>
      </c>
      <c r="B133" s="9">
        <v>46713</v>
      </c>
      <c r="C133" s="9">
        <v>46719</v>
      </c>
      <c r="D133" s="27" t="s">
        <v>639</v>
      </c>
      <c r="E133" s="27">
        <v>5</v>
      </c>
      <c r="F133" s="8" t="s">
        <v>644</v>
      </c>
      <c r="G133" s="35" t="s">
        <v>14</v>
      </c>
      <c r="H133" s="36"/>
      <c r="I133" s="37"/>
      <c r="J133" s="1"/>
      <c r="K133" s="1"/>
      <c r="L133" s="1"/>
      <c r="M133" s="1"/>
    </row>
    <row r="134" spans="1:13" ht="40.5" customHeight="1">
      <c r="A134" s="7">
        <v>26</v>
      </c>
      <c r="B134" s="9">
        <v>46720</v>
      </c>
      <c r="C134" s="9">
        <v>46726</v>
      </c>
      <c r="D134" s="27" t="s">
        <v>645</v>
      </c>
      <c r="E134" s="27">
        <v>1</v>
      </c>
      <c r="F134" s="8" t="s">
        <v>646</v>
      </c>
      <c r="G134" s="35" t="s">
        <v>14</v>
      </c>
      <c r="H134" s="36"/>
      <c r="I134" s="37"/>
      <c r="J134" s="1"/>
      <c r="K134" s="1"/>
      <c r="L134" s="1"/>
      <c r="M134" s="1"/>
    </row>
    <row r="135" spans="1:13" ht="40.5" customHeight="1">
      <c r="A135" s="7">
        <v>26</v>
      </c>
      <c r="B135" s="9">
        <v>46720</v>
      </c>
      <c r="C135" s="9">
        <v>46726</v>
      </c>
      <c r="D135" s="27" t="s">
        <v>645</v>
      </c>
      <c r="E135" s="27">
        <v>2</v>
      </c>
      <c r="F135" s="8" t="s">
        <v>647</v>
      </c>
      <c r="G135" s="35" t="s">
        <v>14</v>
      </c>
      <c r="H135" s="36"/>
      <c r="I135" s="37"/>
      <c r="J135" s="1"/>
      <c r="K135" s="1"/>
      <c r="L135" s="1"/>
      <c r="M135" s="1"/>
    </row>
    <row r="136" spans="1:13" ht="40.5" customHeight="1">
      <c r="A136" s="7">
        <v>26</v>
      </c>
      <c r="B136" s="9">
        <v>46720</v>
      </c>
      <c r="C136" s="9">
        <v>46726</v>
      </c>
      <c r="D136" s="27" t="s">
        <v>645</v>
      </c>
      <c r="E136" s="27">
        <v>3</v>
      </c>
      <c r="F136" s="8" t="s">
        <v>648</v>
      </c>
      <c r="G136" s="35" t="s">
        <v>14</v>
      </c>
      <c r="H136" s="36"/>
      <c r="I136" s="37"/>
      <c r="J136" s="1"/>
      <c r="K136" s="1"/>
      <c r="L136" s="1"/>
      <c r="M136" s="1"/>
    </row>
    <row r="137" spans="1:13" ht="40.5" customHeight="1">
      <c r="A137" s="7">
        <v>26</v>
      </c>
      <c r="B137" s="9">
        <v>46720</v>
      </c>
      <c r="C137" s="9">
        <v>46726</v>
      </c>
      <c r="D137" s="27" t="s">
        <v>645</v>
      </c>
      <c r="E137" s="27">
        <v>4</v>
      </c>
      <c r="F137" s="8" t="s">
        <v>649</v>
      </c>
      <c r="G137" s="35" t="s">
        <v>14</v>
      </c>
      <c r="H137" s="36"/>
      <c r="I137" s="37"/>
      <c r="J137" s="1"/>
      <c r="K137" s="1"/>
      <c r="L137" s="1"/>
      <c r="M137" s="1"/>
    </row>
    <row r="138" spans="1:13" ht="40.5" customHeight="1">
      <c r="A138" s="7">
        <v>26</v>
      </c>
      <c r="B138" s="9">
        <v>46720</v>
      </c>
      <c r="C138" s="9">
        <v>46726</v>
      </c>
      <c r="D138" s="27" t="s">
        <v>645</v>
      </c>
      <c r="E138" s="27">
        <v>5</v>
      </c>
      <c r="F138" s="8" t="s">
        <v>650</v>
      </c>
      <c r="G138" s="35" t="s">
        <v>14</v>
      </c>
      <c r="H138" s="36"/>
      <c r="I138" s="37"/>
      <c r="J138" s="1"/>
      <c r="K138" s="1"/>
      <c r="L138" s="1"/>
      <c r="M138" s="1"/>
    </row>
    <row r="139" spans="1:13" ht="40.5" customHeight="1">
      <c r="A139" s="7">
        <v>27</v>
      </c>
      <c r="B139" s="9">
        <v>46727</v>
      </c>
      <c r="C139" s="9">
        <v>46733</v>
      </c>
      <c r="D139" s="27" t="s">
        <v>651</v>
      </c>
      <c r="E139" s="27">
        <v>1</v>
      </c>
      <c r="F139" s="8" t="s">
        <v>652</v>
      </c>
      <c r="G139" s="35" t="s">
        <v>14</v>
      </c>
      <c r="H139" s="36"/>
      <c r="I139" s="37"/>
      <c r="J139" s="1"/>
      <c r="K139" s="1"/>
      <c r="L139" s="1"/>
      <c r="M139" s="1"/>
    </row>
    <row r="140" spans="1:13" ht="40.5" customHeight="1">
      <c r="A140" s="7">
        <v>27</v>
      </c>
      <c r="B140" s="9">
        <v>46727</v>
      </c>
      <c r="C140" s="9">
        <v>46733</v>
      </c>
      <c r="D140" s="27" t="s">
        <v>651</v>
      </c>
      <c r="E140" s="27">
        <v>2</v>
      </c>
      <c r="F140" s="8" t="s">
        <v>653</v>
      </c>
      <c r="G140" s="35" t="s">
        <v>14</v>
      </c>
      <c r="H140" s="36"/>
      <c r="I140" s="37"/>
      <c r="J140" s="1"/>
      <c r="K140" s="1"/>
      <c r="L140" s="1"/>
      <c r="M140" s="1"/>
    </row>
    <row r="141" spans="1:13" ht="40.5" customHeight="1">
      <c r="A141" s="7">
        <v>27</v>
      </c>
      <c r="B141" s="9">
        <v>46727</v>
      </c>
      <c r="C141" s="9">
        <v>46733</v>
      </c>
      <c r="D141" s="27" t="s">
        <v>651</v>
      </c>
      <c r="E141" s="27">
        <v>3</v>
      </c>
      <c r="F141" s="8" t="s">
        <v>654</v>
      </c>
      <c r="G141" s="35" t="s">
        <v>14</v>
      </c>
      <c r="H141" s="36"/>
      <c r="I141" s="37"/>
      <c r="J141" s="1"/>
      <c r="K141" s="1"/>
      <c r="L141" s="1"/>
      <c r="M141" s="1"/>
    </row>
    <row r="142" spans="1:13" ht="40.5" customHeight="1">
      <c r="A142" s="7">
        <v>27</v>
      </c>
      <c r="B142" s="9">
        <v>46727</v>
      </c>
      <c r="C142" s="9">
        <v>46733</v>
      </c>
      <c r="D142" s="27" t="s">
        <v>651</v>
      </c>
      <c r="E142" s="27">
        <v>4</v>
      </c>
      <c r="F142" s="8" t="s">
        <v>655</v>
      </c>
      <c r="G142" s="35" t="s">
        <v>14</v>
      </c>
      <c r="H142" s="36"/>
      <c r="I142" s="37"/>
      <c r="J142" s="1"/>
      <c r="K142" s="1"/>
      <c r="L142" s="1"/>
      <c r="M142" s="1"/>
    </row>
    <row r="143" spans="1:13" ht="40.5" customHeight="1">
      <c r="A143" s="7">
        <v>27</v>
      </c>
      <c r="B143" s="9">
        <v>46727</v>
      </c>
      <c r="C143" s="9">
        <v>46733</v>
      </c>
      <c r="D143" s="27" t="s">
        <v>651</v>
      </c>
      <c r="E143" s="27">
        <v>5</v>
      </c>
      <c r="F143" s="8" t="s">
        <v>656</v>
      </c>
      <c r="G143" s="35" t="s">
        <v>14</v>
      </c>
      <c r="H143" s="36"/>
      <c r="I143" s="37"/>
      <c r="J143" s="1"/>
      <c r="K143" s="1"/>
      <c r="L143" s="1"/>
      <c r="M143" s="1"/>
    </row>
    <row r="144" spans="1:13" ht="40.5" customHeight="1">
      <c r="A144" s="7">
        <v>28</v>
      </c>
      <c r="B144" s="9">
        <v>46734</v>
      </c>
      <c r="C144" s="9">
        <v>46740</v>
      </c>
      <c r="D144" s="27" t="s">
        <v>657</v>
      </c>
      <c r="E144" s="27">
        <v>1</v>
      </c>
      <c r="F144" s="8" t="s">
        <v>658</v>
      </c>
      <c r="G144" s="35" t="s">
        <v>14</v>
      </c>
      <c r="H144" s="36"/>
      <c r="I144" s="37"/>
      <c r="J144" s="1"/>
      <c r="K144" s="1"/>
      <c r="L144" s="1"/>
      <c r="M144" s="1"/>
    </row>
    <row r="145" spans="1:13" ht="40.5" customHeight="1">
      <c r="A145" s="7">
        <v>28</v>
      </c>
      <c r="B145" s="9">
        <v>46734</v>
      </c>
      <c r="C145" s="9">
        <v>46740</v>
      </c>
      <c r="D145" s="27" t="s">
        <v>657</v>
      </c>
      <c r="E145" s="27">
        <v>2</v>
      </c>
      <c r="F145" s="8" t="s">
        <v>659</v>
      </c>
      <c r="G145" s="35" t="s">
        <v>14</v>
      </c>
      <c r="H145" s="36"/>
      <c r="I145" s="37"/>
      <c r="J145" s="1"/>
      <c r="K145" s="1"/>
      <c r="L145" s="1"/>
      <c r="M145" s="1"/>
    </row>
    <row r="146" spans="1:13" ht="40.5" customHeight="1">
      <c r="A146" s="7">
        <v>28</v>
      </c>
      <c r="B146" s="9">
        <v>46734</v>
      </c>
      <c r="C146" s="9">
        <v>46740</v>
      </c>
      <c r="D146" s="27" t="s">
        <v>657</v>
      </c>
      <c r="E146" s="27">
        <v>3</v>
      </c>
      <c r="F146" s="8" t="s">
        <v>660</v>
      </c>
      <c r="G146" s="35" t="s">
        <v>14</v>
      </c>
      <c r="H146" s="36"/>
      <c r="I146" s="37"/>
      <c r="J146" s="1"/>
      <c r="K146" s="1"/>
      <c r="L146" s="1"/>
      <c r="M146" s="1"/>
    </row>
    <row r="147" spans="1:13" ht="40.5" customHeight="1">
      <c r="A147" s="7">
        <v>28</v>
      </c>
      <c r="B147" s="9">
        <v>46734</v>
      </c>
      <c r="C147" s="9">
        <v>46740</v>
      </c>
      <c r="D147" s="27" t="s">
        <v>657</v>
      </c>
      <c r="E147" s="27">
        <v>4</v>
      </c>
      <c r="F147" s="8" t="s">
        <v>661</v>
      </c>
      <c r="G147" s="35" t="s">
        <v>14</v>
      </c>
      <c r="H147" s="36"/>
      <c r="I147" s="37"/>
      <c r="J147" s="1"/>
      <c r="K147" s="1"/>
      <c r="L147" s="1"/>
      <c r="M147" s="1"/>
    </row>
    <row r="148" spans="1:13" ht="40.5" customHeight="1">
      <c r="A148" s="7">
        <v>28</v>
      </c>
      <c r="B148" s="9">
        <v>46734</v>
      </c>
      <c r="C148" s="9">
        <v>46740</v>
      </c>
      <c r="D148" s="27" t="s">
        <v>657</v>
      </c>
      <c r="E148" s="27">
        <v>5</v>
      </c>
      <c r="F148" s="8" t="s">
        <v>662</v>
      </c>
      <c r="G148" s="35" t="s">
        <v>14</v>
      </c>
      <c r="H148" s="36"/>
      <c r="I148" s="37"/>
      <c r="J148" s="1"/>
      <c r="K148" s="1"/>
      <c r="L148" s="1"/>
      <c r="M148" s="1"/>
    </row>
  </sheetData>
  <mergeCells count="12">
    <mergeCell ref="K40:M40"/>
    <mergeCell ref="K41:M45"/>
    <mergeCell ref="K47:M47"/>
    <mergeCell ref="K48:M52"/>
    <mergeCell ref="K54:M54"/>
    <mergeCell ref="K75:M75"/>
    <mergeCell ref="K76:M80"/>
    <mergeCell ref="K55:M59"/>
    <mergeCell ref="K61:M61"/>
    <mergeCell ref="K62:M66"/>
    <mergeCell ref="K68:M68"/>
    <mergeCell ref="K69:M73"/>
  </mergeCells>
  <phoneticPr fontId="9" type="noConversion"/>
  <conditionalFormatting sqref="A9:I148">
    <cfRule type="expression" dxfId="0" priority="1">
      <formula>$G9="☑"</formula>
    </cfRule>
  </conditionalFormatting>
  <dataValidations count="1">
    <dataValidation type="list" sqref="G9:G148" xr:uid="{00000000-0002-0000-03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电路学习打卡</vt:lpstr>
      <vt:lpstr>高等数学学习计划</vt:lpstr>
      <vt:lpstr>英语</vt:lpstr>
      <vt:lpstr>政治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2026-10-23T09:55:54Z</dcterms:modified>
</cp:coreProperties>
</file>